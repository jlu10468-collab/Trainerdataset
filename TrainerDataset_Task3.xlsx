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3c52cb5b818d1a3/Desktop/"/>
    </mc:Choice>
  </mc:AlternateContent>
  <xr:revisionPtr revIDLastSave="0" documentId="8_{616B7C6C-05F8-442A-84FD-C86F0EFE00F4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Trainer_Master" sheetId="1" r:id="rId1"/>
    <sheet name="Organization_Master" sheetId="2" r:id="rId2"/>
    <sheet name="Engagements" sheetId="3" r:id="rId3"/>
    <sheet name="Past_Projects" sheetId="4" r:id="rId4"/>
    <sheet name="SUMMARY" sheetId="8" r:id="rId5"/>
    <sheet name="Dashboard" sheetId="10" r:id="rId6"/>
  </sheets>
  <definedNames>
    <definedName name="_xlnm._FilterDatabase" localSheetId="0" hidden="1">Trainer_Master!$A$1:$H$41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C14" i="10"/>
  <c r="C13" i="10"/>
  <c r="C11" i="10"/>
  <c r="C10" i="10"/>
  <c r="C9" i="10"/>
  <c r="I11" i="10" s="1" a="1"/>
  <c r="I11" i="10" s="1"/>
  <c r="P4" i="10"/>
  <c r="H4" i="10"/>
  <c r="N4" i="10"/>
  <c r="F4" i="10"/>
  <c r="L4" i="10"/>
  <c r="D4" i="10"/>
  <c r="B4" i="10"/>
  <c r="J4" i="10"/>
  <c r="B10" i="8"/>
  <c r="B9" i="8"/>
  <c r="B8" i="8"/>
  <c r="B7" i="8"/>
  <c r="B6" i="8"/>
  <c r="B5" i="8"/>
  <c r="B4" i="8"/>
  <c r="B3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G9" i="10" l="1" a="1"/>
  <c r="G9" i="10" s="1"/>
  <c r="G10" i="10" a="1"/>
  <c r="G10" i="10" s="1"/>
  <c r="G11" i="10" a="1"/>
  <c r="G11" i="10" s="1"/>
  <c r="H9" i="10" a="1"/>
  <c r="H9" i="10" s="1"/>
  <c r="H10" i="10" a="1"/>
  <c r="H10" i="10" s="1"/>
  <c r="H11" i="10" a="1"/>
  <c r="H11" i="10" s="1"/>
  <c r="I9" i="10" a="1"/>
  <c r="I9" i="10" s="1"/>
  <c r="I10" i="10" a="1"/>
  <c r="I10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<sst xmlns="http://schemas.openxmlformats.org/spreadsheetml/2006/main" count="1941" uniqueCount="616">
  <si>
    <t>Trainer_ID</t>
  </si>
  <si>
    <t>Trainer_Name</t>
  </si>
  <si>
    <t>Primary_Course</t>
  </si>
  <si>
    <t>Secondary_Course</t>
  </si>
  <si>
    <t>Experience_Years</t>
  </si>
  <si>
    <t>Rating</t>
  </si>
  <si>
    <t>T001</t>
  </si>
  <si>
    <t>Karan Jain</t>
  </si>
  <si>
    <t>Tableau</t>
  </si>
  <si>
    <t>Power BI</t>
  </si>
  <si>
    <t>T002</t>
  </si>
  <si>
    <t>Rohit Jain</t>
  </si>
  <si>
    <t>Python</t>
  </si>
  <si>
    <t>Excel VBA</t>
  </si>
  <si>
    <t>T003</t>
  </si>
  <si>
    <t>Priya Mishra</t>
  </si>
  <si>
    <t>SQL</t>
  </si>
  <si>
    <t>T004</t>
  </si>
  <si>
    <t>Pooja Verma</t>
  </si>
  <si>
    <t>T005</t>
  </si>
  <si>
    <t>Rahul Agarwal</t>
  </si>
  <si>
    <t>T006</t>
  </si>
  <si>
    <t>Rahul Mishra</t>
  </si>
  <si>
    <t>T007</t>
  </si>
  <si>
    <t>Neha Verma</t>
  </si>
  <si>
    <t>T008</t>
  </si>
  <si>
    <t>Sneha Jain</t>
  </si>
  <si>
    <t>T009</t>
  </si>
  <si>
    <t>T010</t>
  </si>
  <si>
    <t>Karan Gupta</t>
  </si>
  <si>
    <t>T011</t>
  </si>
  <si>
    <t>Vikas Sharma</t>
  </si>
  <si>
    <t>T012</t>
  </si>
  <si>
    <t>Priya Verma</t>
  </si>
  <si>
    <t>T013</t>
  </si>
  <si>
    <t>Rahul Mehta</t>
  </si>
  <si>
    <t>T014</t>
  </si>
  <si>
    <t>Neha Mishra</t>
  </si>
  <si>
    <t>T015</t>
  </si>
  <si>
    <t>Rohit Mehta</t>
  </si>
  <si>
    <t>T016</t>
  </si>
  <si>
    <t>T017</t>
  </si>
  <si>
    <t>Neha Gupta</t>
  </si>
  <si>
    <t>T018</t>
  </si>
  <si>
    <t>Vikas Singh</t>
  </si>
  <si>
    <t>T019</t>
  </si>
  <si>
    <t>Neha Sharma</t>
  </si>
  <si>
    <t>T020</t>
  </si>
  <si>
    <t>Vikas Mehta</t>
  </si>
  <si>
    <t>T021</t>
  </si>
  <si>
    <t>Karan Verma</t>
  </si>
  <si>
    <t>T022</t>
  </si>
  <si>
    <t>Karan Agarwal</t>
  </si>
  <si>
    <t>T023</t>
  </si>
  <si>
    <t>T024</t>
  </si>
  <si>
    <t>T025</t>
  </si>
  <si>
    <t>Karan Mishra</t>
  </si>
  <si>
    <t>T026</t>
  </si>
  <si>
    <t>T027</t>
  </si>
  <si>
    <t>T028</t>
  </si>
  <si>
    <t>Karan Singh</t>
  </si>
  <si>
    <t>T029</t>
  </si>
  <si>
    <t>T030</t>
  </si>
  <si>
    <t>Pooja Gupta</t>
  </si>
  <si>
    <t>T031</t>
  </si>
  <si>
    <t>Rohit Sharma</t>
  </si>
  <si>
    <t>T032</t>
  </si>
  <si>
    <t>Rahul Gupta</t>
  </si>
  <si>
    <t>T033</t>
  </si>
  <si>
    <t>T034</t>
  </si>
  <si>
    <t>Rohit Agarwal</t>
  </si>
  <si>
    <t>T035</t>
  </si>
  <si>
    <t>Vikas Mishra</t>
  </si>
  <si>
    <t>T036</t>
  </si>
  <si>
    <t>T037</t>
  </si>
  <si>
    <t>Amit Mehta</t>
  </si>
  <si>
    <t>T038</t>
  </si>
  <si>
    <t>Sneha Mishra</t>
  </si>
  <si>
    <t>T039</t>
  </si>
  <si>
    <t>T040</t>
  </si>
  <si>
    <t>Anjali Verma</t>
  </si>
  <si>
    <t>Org_ID</t>
  </si>
  <si>
    <t>Organization_Name</t>
  </si>
  <si>
    <t>Org_Type</t>
  </si>
  <si>
    <t>City</t>
  </si>
  <si>
    <t>SPOC_Name</t>
  </si>
  <si>
    <t>SPOC_Mobile</t>
  </si>
  <si>
    <t>SPOC_Email</t>
  </si>
  <si>
    <t>U001</t>
  </si>
  <si>
    <t>Galgotias University</t>
  </si>
  <si>
    <t>University</t>
  </si>
  <si>
    <t>Noida</t>
  </si>
  <si>
    <t>9840339827</t>
  </si>
  <si>
    <t>priya@example.com</t>
  </si>
  <si>
    <t>U002</t>
  </si>
  <si>
    <t>GL Bajaj</t>
  </si>
  <si>
    <t>Greater Noida</t>
  </si>
  <si>
    <t>Sneha Singh</t>
  </si>
  <si>
    <t>9849783725</t>
  </si>
  <si>
    <t>sneha@example.com</t>
  </si>
  <si>
    <t>U003</t>
  </si>
  <si>
    <t>Amity University</t>
  </si>
  <si>
    <t>Rohit Mishra</t>
  </si>
  <si>
    <t>9887387013</t>
  </si>
  <si>
    <t>rohit@example.com</t>
  </si>
  <si>
    <t>U004</t>
  </si>
  <si>
    <t>Sharda University</t>
  </si>
  <si>
    <t>Amit Mishra</t>
  </si>
  <si>
    <t>9826687437</t>
  </si>
  <si>
    <t>amit@example.com</t>
  </si>
  <si>
    <t>U005</t>
  </si>
  <si>
    <t>LPU</t>
  </si>
  <si>
    <t>Jalandhar</t>
  </si>
  <si>
    <t>9895070307</t>
  </si>
  <si>
    <t>U006</t>
  </si>
  <si>
    <t>Bennett University</t>
  </si>
  <si>
    <t>Sneha Verma</t>
  </si>
  <si>
    <t>9837915675</t>
  </si>
  <si>
    <t>U007</t>
  </si>
  <si>
    <t>Chandigarh University</t>
  </si>
  <si>
    <t>Mohali</t>
  </si>
  <si>
    <t>Anjali Jain</t>
  </si>
  <si>
    <t>9893298012</t>
  </si>
  <si>
    <t>anjali@example.com</t>
  </si>
  <si>
    <t>U008</t>
  </si>
  <si>
    <t>Delhi University</t>
  </si>
  <si>
    <t>Delhi</t>
  </si>
  <si>
    <t>9888325612</t>
  </si>
  <si>
    <t>rahul@example.com</t>
  </si>
  <si>
    <t>C001</t>
  </si>
  <si>
    <t>Infosys</t>
  </si>
  <si>
    <t>Corporate</t>
  </si>
  <si>
    <t>Bangalore</t>
  </si>
  <si>
    <t>Vikas Jain</t>
  </si>
  <si>
    <t>9843164859</t>
  </si>
  <si>
    <t>vikas@example.com</t>
  </si>
  <si>
    <t>C002</t>
  </si>
  <si>
    <t>TCS</t>
  </si>
  <si>
    <t>Gurgaon</t>
  </si>
  <si>
    <t>Rahul Singh</t>
  </si>
  <si>
    <t>9846948913</t>
  </si>
  <si>
    <t>C003</t>
  </si>
  <si>
    <t>Wipro</t>
  </si>
  <si>
    <t>9841428883</t>
  </si>
  <si>
    <t>C004</t>
  </si>
  <si>
    <t>Accenture</t>
  </si>
  <si>
    <t>Mumbai</t>
  </si>
  <si>
    <t>9835967702</t>
  </si>
  <si>
    <t>C005</t>
  </si>
  <si>
    <t>HCL</t>
  </si>
  <si>
    <t>9819590442</t>
  </si>
  <si>
    <t>C006</t>
  </si>
  <si>
    <t>Cognizant</t>
  </si>
  <si>
    <t>Chennai</t>
  </si>
  <si>
    <t>9823803256</t>
  </si>
  <si>
    <t>C007</t>
  </si>
  <si>
    <t>Capgemini</t>
  </si>
  <si>
    <t>Pune</t>
  </si>
  <si>
    <t>Pooja Jain</t>
  </si>
  <si>
    <t>9895200408</t>
  </si>
  <si>
    <t>pooja@example.com</t>
  </si>
  <si>
    <t>C008</t>
  </si>
  <si>
    <t>Tech Mahindra</t>
  </si>
  <si>
    <t>9877288811</t>
  </si>
  <si>
    <t>Engagement_ID</t>
  </si>
  <si>
    <t>Start_Date</t>
  </si>
  <si>
    <t>End_Date</t>
  </si>
  <si>
    <t>Status</t>
  </si>
  <si>
    <t>E001</t>
  </si>
  <si>
    <t>Completed</t>
  </si>
  <si>
    <t>E002</t>
  </si>
  <si>
    <t>E003</t>
  </si>
  <si>
    <t>E004</t>
  </si>
  <si>
    <t>E005</t>
  </si>
  <si>
    <t>Ongoing</t>
  </si>
  <si>
    <t>E006</t>
  </si>
  <si>
    <t>Scheduled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</si>
  <si>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</si>
  <si>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</si>
  <si>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</si>
  <si>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</si>
  <si>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</si>
  <si>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</si>
  <si>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</si>
  <si>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</si>
  <si>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</si>
  <si>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</si>
  <si>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</si>
  <si>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</si>
  <si>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</si>
  <si>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</si>
  <si>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</si>
  <si>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</si>
  <si>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</si>
  <si>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</si>
  <si>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</si>
  <si>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</si>
  <si>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</si>
  <si>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</si>
  <si>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</si>
  <si>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</si>
  <si>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</si>
  <si>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</si>
  <si>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</si>
  <si>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</si>
  <si>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</si>
  <si>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</si>
  <si>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</si>
  <si>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</si>
  <si>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</si>
  <si>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</si>
  <si>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</si>
  <si>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</si>
  <si>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</si>
  <si>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</si>
  <si>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</si>
  <si>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</si>
  <si>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</si>
  <si>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</si>
  <si>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</si>
  <si>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</si>
  <si>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</si>
  <si>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</si>
  <si>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</si>
  <si>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</si>
  <si>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</si>
  <si>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</si>
  <si>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</si>
  <si>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</si>
  <si>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</si>
  <si>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</si>
  <si>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</si>
  <si>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</si>
  <si>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</si>
  <si>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</si>
  <si>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</si>
  <si>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</si>
  <si>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</si>
  <si>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</si>
  <si>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</si>
  <si>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</si>
  <si>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</si>
  <si>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</si>
  <si>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</si>
  <si>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</si>
  <si>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</si>
  <si>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</si>
  <si>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</si>
  <si>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</si>
  <si>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</si>
  <si>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</si>
  <si>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</si>
  <si>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</si>
  <si>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</si>
  <si>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</si>
  <si>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</si>
  <si>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</si>
  <si>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</si>
  <si>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</si>
  <si>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</si>
  <si>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</si>
  <si>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</si>
  <si>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</si>
  <si>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</si>
  <si>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</si>
  <si>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</si>
  <si>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</si>
  <si>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</si>
  <si>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</si>
  <si>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</si>
  <si>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</si>
  <si>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</si>
  <si>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</si>
  <si>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</si>
  <si>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</si>
  <si>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</si>
  <si>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</si>
  <si>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</si>
  <si>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</si>
  <si>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</si>
  <si>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</si>
  <si>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</si>
  <si>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</si>
  <si>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</si>
  <si>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</si>
  <si>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</si>
  <si>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</si>
  <si>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</si>
  <si>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</si>
  <si>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</si>
  <si>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</si>
  <si>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</si>
  <si>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</si>
  <si>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</si>
  <si>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</si>
  <si>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</si>
  <si>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</si>
  <si>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</si>
  <si>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</si>
  <si>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</si>
  <si>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</si>
  <si>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</si>
  <si>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</si>
  <si>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</si>
  <si>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</si>
  <si>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</si>
  <si>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</si>
  <si>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</si>
  <si>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</si>
  <si>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</si>
  <si>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</si>
  <si>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</si>
  <si>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</si>
  <si>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</si>
  <si>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</si>
  <si>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</si>
  <si>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</si>
  <si>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</si>
  <si>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</si>
  <si>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</si>
  <si>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</si>
  <si>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</si>
  <si>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</si>
  <si>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</si>
  <si>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</si>
  <si>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</si>
  <si>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</si>
  <si>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</si>
  <si>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</si>
  <si>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</si>
  <si>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</si>
  <si>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</si>
  <si>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</si>
  <si>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</si>
  <si>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</si>
  <si>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</si>
  <si>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</si>
  <si>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</si>
  <si>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</si>
  <si>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</si>
  <si>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</si>
  <si>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</si>
  <si>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</si>
  <si>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</si>
  <si>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</si>
  <si>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</si>
  <si>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</si>
  <si>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</si>
  <si>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</si>
  <si>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</si>
  <si>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</si>
  <si>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</si>
  <si>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</si>
  <si>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</si>
  <si>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</si>
  <si>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</si>
  <si>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</si>
  <si>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</si>
  <si>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</si>
  <si>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</si>
  <si>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</si>
  <si>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</si>
  <si>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</si>
  <si>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</si>
  <si>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</si>
  <si>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</si>
  <si>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</si>
  <si>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</si>
  <si>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</si>
  <si>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</si>
  <si>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</si>
  <si>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</si>
  <si>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</si>
  <si>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</si>
  <si>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</si>
  <si>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</si>
  <si>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</si>
  <si>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</si>
  <si>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</si>
  <si>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</si>
  <si>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</si>
  <si>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</si>
  <si>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</si>
  <si>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</si>
  <si>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</si>
  <si>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</si>
  <si>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</si>
  <si>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</si>
  <si>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</si>
  <si>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</si>
  <si>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</si>
  <si>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</si>
  <si>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</si>
  <si>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</si>
  <si>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</si>
  <si>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</si>
  <si>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</si>
  <si>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</si>
  <si>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</si>
  <si>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</si>
  <si>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</si>
  <si>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</si>
  <si>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</si>
  <si>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</si>
  <si>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</si>
  <si>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</si>
  <si>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</si>
  <si>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</si>
  <si>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</si>
  <si>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</si>
  <si>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</si>
  <si>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</si>
  <si>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</si>
  <si>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</si>
  <si>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</si>
  <si>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</si>
  <si>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</si>
  <si>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</si>
  <si>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</si>
  <si>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</si>
  <si>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</si>
  <si>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</si>
  <si>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</si>
  <si>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</si>
  <si>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</si>
  <si>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</si>
  <si>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</si>
  <si>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</si>
  <si>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</si>
  <si>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</si>
  <si>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</si>
  <si>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</si>
  <si>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</si>
  <si>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</si>
  <si>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</si>
  <si>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</si>
  <si>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</si>
  <si>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</si>
  <si>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</si>
  <si>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</si>
  <si>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</si>
  <si>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</si>
  <si>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</si>
  <si>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</si>
  <si>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</si>
  <si>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</si>
  <si>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</si>
  <si>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</si>
  <si>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</si>
  <si>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</si>
  <si>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</si>
  <si>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</si>
  <si>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</si>
  <si>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</si>
  <si>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</si>
  <si>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</si>
  <si>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</si>
  <si>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</si>
  <si>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</si>
  <si>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</si>
  <si>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</si>
  <si>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</si>
  <si>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</si>
  <si>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</si>
  <si>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</si>
  <si>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</si>
  <si>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</si>
  <si>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</si>
  <si>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</si>
  <si>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</si>
  <si>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</si>
  <si>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Project_ID</t>
  </si>
  <si>
    <t>Project_Name</t>
  </si>
  <si>
    <t>Client</t>
  </si>
  <si>
    <t>Year</t>
  </si>
  <si>
    <t>P001</t>
  </si>
  <si>
    <t>HR Analytics</t>
  </si>
  <si>
    <t>P002</t>
  </si>
  <si>
    <t>Supply Chain Analytics</t>
  </si>
  <si>
    <t>P003</t>
  </si>
  <si>
    <t>Process Automation</t>
  </si>
  <si>
    <t>P004</t>
  </si>
  <si>
    <t>P005</t>
  </si>
  <si>
    <t>P006</t>
  </si>
  <si>
    <t>P007</t>
  </si>
  <si>
    <t>Sales Dashboard</t>
  </si>
  <si>
    <t>P008</t>
  </si>
  <si>
    <t>P009</t>
  </si>
  <si>
    <t>Customer Segmentation</t>
  </si>
  <si>
    <t>P010</t>
  </si>
  <si>
    <t>P011</t>
  </si>
  <si>
    <t>P012</t>
  </si>
  <si>
    <t>Financial Reporting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</si>
  <si>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</si>
  <si>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</si>
  <si>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</si>
  <si>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</si>
  <si>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</si>
  <si>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</si>
  <si>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</si>
  <si>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</si>
  <si>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</si>
  <si>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</si>
  <si>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</si>
  <si>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</si>
  <si>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</si>
  <si>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</si>
  <si>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</si>
  <si>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</si>
  <si>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</si>
  <si>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</si>
  <si>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</si>
  <si>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</si>
  <si>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</si>
  <si>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</si>
  <si>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</si>
  <si>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</si>
  <si>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</si>
  <si>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</si>
  <si>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</si>
  <si>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</si>
  <si>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</si>
  <si>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</si>
  <si>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</si>
  <si>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</si>
  <si>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</si>
  <si>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</si>
  <si>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</si>
  <si>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</si>
  <si>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</si>
  <si>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</si>
  <si>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</si>
  <si>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</si>
  <si>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</si>
  <si>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</si>
  <si>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</si>
  <si>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</si>
  <si>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</si>
  <si>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</si>
  <si>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</si>
  <si>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</si>
  <si>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</si>
  <si>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</si>
  <si>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</si>
  <si>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</si>
  <si>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</si>
  <si>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</si>
  <si>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</si>
  <si>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</si>
  <si>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</si>
  <si>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</si>
  <si>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</si>
  <si>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</si>
  <si>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</si>
  <si>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</si>
  <si>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</si>
  <si>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</si>
  <si>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</si>
  <si>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</si>
  <si>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</si>
  <si>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</si>
  <si>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</si>
  <si>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</si>
  <si>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</si>
  <si>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</si>
  <si>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</si>
  <si>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</si>
  <si>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</si>
  <si>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</si>
  <si>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</si>
  <si>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</si>
  <si>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</si>
  <si>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</si>
  <si>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</si>
  <si>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</si>
  <si>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</si>
  <si>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</si>
  <si>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</si>
  <si>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</si>
  <si>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</si>
  <si>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</si>
  <si>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View Calendar</t>
  </si>
  <si>
    <t>Current Status</t>
  </si>
  <si>
    <t>Trainer Resource Summary</t>
  </si>
  <si>
    <t>Total Trainers</t>
  </si>
  <si>
    <t>Total Engagements</t>
  </si>
  <si>
    <t>Busy Today</t>
  </si>
  <si>
    <t>Upcoming</t>
  </si>
  <si>
    <t xml:space="preserve">Free Today </t>
  </si>
  <si>
    <t>Corporate Engagements</t>
  </si>
  <si>
    <t>University Engagements</t>
  </si>
  <si>
    <t>Trainer Engagement &amp; Availability Management System</t>
  </si>
  <si>
    <t xml:space="preserve">       Busy Today</t>
  </si>
  <si>
    <t>Free Today</t>
  </si>
  <si>
    <t xml:space="preserve">Corporate Engagement </t>
  </si>
  <si>
    <t xml:space="preserve"> University Engagement</t>
  </si>
  <si>
    <t>Trainer Selection Panel</t>
  </si>
  <si>
    <t>Select Trainer:</t>
  </si>
  <si>
    <t>Trainer ID</t>
  </si>
  <si>
    <t>Primary Course</t>
  </si>
  <si>
    <t>Secondary Course</t>
  </si>
  <si>
    <t>Experience Years</t>
  </si>
  <si>
    <t>Past Projects</t>
  </si>
  <si>
    <t>Project Name</t>
  </si>
  <si>
    <t>MON</t>
  </si>
  <si>
    <t>TUE</t>
  </si>
  <si>
    <t>WED</t>
  </si>
  <si>
    <t>THU</t>
  </si>
  <si>
    <t>FRI</t>
  </si>
  <si>
    <t>SAT</t>
  </si>
  <si>
    <t>SUN</t>
  </si>
  <si>
    <t>Week</t>
  </si>
  <si>
    <t>TODAY</t>
  </si>
  <si>
    <t>ENGAGED</t>
  </si>
  <si>
    <t>FREE</t>
  </si>
  <si>
    <t>Trainer Calendar - Neha Verma | 15 Jun - 06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</si>
</sst>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4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color theme="1"/>
      <name val="Arial Unicode MS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DC50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464"/>
        <bgColor indexed="64"/>
      </patternFill>
    </fill>
    <fill>
      <patternFill patternType="solid">
        <fgColor rgb="FFDCF0F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64C864"/>
        <bgColor indexed="64"/>
      </patternFill>
    </fill>
    <fill>
      <patternFill patternType="solid">
        <fgColor rgb="FFDC323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9">
    <xf numFmtId="0" fontId="0" fillId="0" borderId="0" xfId="0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1" fillId="0" borderId="1" xfId="0" applyFont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2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6" borderId="1" xfId="0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0" fillId="0" borderId="3" xfId="0" applyBorder="1"/>
    <xf numFmtId="0" fontId="10" fillId="19" borderId="2" xfId="0" applyFont="1" applyFill="1" applyBorder="1"/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9" fillId="0" borderId="0" xfId="0" applyFont="1"/>
    <xf numFmtId="0" fontId="16" fillId="0" borderId="7" xfId="0" applyFont="1" applyBorder="1"/>
    <xf numFmtId="0" fontId="0" fillId="0" borderId="8" xfId="0" applyBorder="1"/>
    <xf numFmtId="0" fontId="2" fillId="0" borderId="7" xfId="0" applyFont="1" applyBorder="1"/>
    <xf numFmtId="0" fontId="2" fillId="0" borderId="9" xfId="0" applyFont="1" applyBorder="1"/>
    <xf numFmtId="0" fontId="15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9" fillId="0" borderId="7" xfId="0" applyFont="1" applyBorder="1"/>
    <xf numFmtId="0" fontId="0" fillId="0" borderId="7" xfId="0" applyBorder="1"/>
    <xf numFmtId="0" fontId="0" fillId="0" borderId="9" xfId="0" applyBorder="1"/>
    <xf numFmtId="0" fontId="21" fillId="21" borderId="1" xfId="0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21" fillId="25" borderId="1" xfId="0" applyFont="1" applyFill="1" applyBorder="1" applyAlignment="1">
      <alignment horizontal="center"/>
    </xf>
    <xf numFmtId="16" fontId="22" fillId="22" borderId="1" xfId="0" applyNumberFormat="1" applyFont="1" applyFill="1" applyBorder="1" applyAlignment="1">
      <alignment horizontal="center"/>
    </xf>
    <xf numFmtId="0" fontId="23" fillId="23" borderId="1" xfId="0" applyFont="1" applyFill="1" applyBorder="1" applyAlignment="1">
      <alignment horizontal="center"/>
    </xf>
    <xf numFmtId="0" fontId="19" fillId="0" borderId="0" xfId="0" applyFont="1"/>
    <xf numFmtId="0" fontId="20" fillId="23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0" fontId="20" fillId="24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10" fillId="9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5" fillId="20" borderId="0" xfId="0" applyFont="1" applyFill="1" applyAlignment="1">
      <alignment horizontal="center"/>
    </xf>
    <xf numFmtId="0" fontId="2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Corporate vs University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59-4F3F-B40A-669EFEED76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59-4F3F-B40A-669EFEED768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SUMMARY!$A$9:$A$10</c:f>
              <c:strCache>
                <c:ptCount val="2"/>
                <c:pt idx="0">
                  <c:v>Corporate Engagements</c:v>
                </c:pt>
                <c:pt idx="1">
                  <c:v>University Engagements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59-4F3F-B40A-669EFEED76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Trainer_Master!$F$1</c:f>
              <c:strCache>
                <c:ptCount val="1"/>
                <c:pt idx="0">
                  <c:v>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solidFill>
                <a:schemeClr val="accent6">
                  <a:lumMod val="75000"/>
                  <a:alpha val="98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Trainer_Master!$B$2:$B$41</c:f>
              <c:strCache>
                <c:ptCount val="40"/>
                <c:pt idx="0">
                  <c:v>Karan Jain</c:v>
                </c:pt>
                <c:pt idx="1">
                  <c:v>Rohit Jain</c:v>
                </c:pt>
                <c:pt idx="2">
                  <c:v>Priya Mishra</c:v>
                </c:pt>
                <c:pt idx="3">
                  <c:v>Pooja Verma</c:v>
                </c:pt>
                <c:pt idx="4">
                  <c:v>Rahul Agarwal</c:v>
                </c:pt>
                <c:pt idx="5">
                  <c:v>Rahul Mishra</c:v>
                </c:pt>
                <c:pt idx="6">
                  <c:v>Neha Verma</c:v>
                </c:pt>
                <c:pt idx="7">
                  <c:v>Sneha Jain</c:v>
                </c:pt>
                <c:pt idx="8">
                  <c:v>Rahul Mishra</c:v>
                </c:pt>
                <c:pt idx="9">
                  <c:v>Karan Gupta</c:v>
                </c:pt>
                <c:pt idx="10">
                  <c:v>Vikas Sharma</c:v>
                </c:pt>
                <c:pt idx="11">
                  <c:v>Priya Verma</c:v>
                </c:pt>
                <c:pt idx="12">
                  <c:v>Rahul Mehta</c:v>
                </c:pt>
                <c:pt idx="13">
                  <c:v>Neha Mishra</c:v>
                </c:pt>
                <c:pt idx="14">
                  <c:v>Rohit Mehta</c:v>
                </c:pt>
                <c:pt idx="15">
                  <c:v>Neha Verma</c:v>
                </c:pt>
                <c:pt idx="16">
                  <c:v>Neha Gupta</c:v>
                </c:pt>
                <c:pt idx="17">
                  <c:v>Vikas Singh</c:v>
                </c:pt>
                <c:pt idx="18">
                  <c:v>Neha Sharma</c:v>
                </c:pt>
                <c:pt idx="19">
                  <c:v>Vikas Mehta</c:v>
                </c:pt>
                <c:pt idx="20">
                  <c:v>Karan Verma</c:v>
                </c:pt>
                <c:pt idx="21">
                  <c:v>Karan Agarwal</c:v>
                </c:pt>
                <c:pt idx="22">
                  <c:v>Neha Verma</c:v>
                </c:pt>
                <c:pt idx="23">
                  <c:v>Pooja Verma</c:v>
                </c:pt>
                <c:pt idx="24">
                  <c:v>Karan Mishra</c:v>
                </c:pt>
                <c:pt idx="25">
                  <c:v>Karan Agarwal</c:v>
                </c:pt>
                <c:pt idx="26">
                  <c:v>Karan Gupta</c:v>
                </c:pt>
                <c:pt idx="27">
                  <c:v>Karan Singh</c:v>
                </c:pt>
                <c:pt idx="28">
                  <c:v>Rahul Agarwal</c:v>
                </c:pt>
                <c:pt idx="29">
                  <c:v>Pooja Gupta</c:v>
                </c:pt>
                <c:pt idx="30">
                  <c:v>Rohit Sharma</c:v>
                </c:pt>
                <c:pt idx="31">
                  <c:v>Rahul Gupta</c:v>
                </c:pt>
                <c:pt idx="32">
                  <c:v>Rohit Mehta</c:v>
                </c:pt>
                <c:pt idx="33">
                  <c:v>Rohit Agarwal</c:v>
                </c:pt>
                <c:pt idx="34">
                  <c:v>Vikas Mishra</c:v>
                </c:pt>
                <c:pt idx="35">
                  <c:v>Rohit Mehta</c:v>
                </c:pt>
                <c:pt idx="36">
                  <c:v>Amit Mehta</c:v>
                </c:pt>
                <c:pt idx="37">
                  <c:v>Sneha Mishra</c:v>
                </c:pt>
                <c:pt idx="38">
                  <c:v>Neha Verma</c:v>
                </c:pt>
                <c:pt idx="39">
                  <c:v>Anjali Verma</c:v>
                </c:pt>
              </c:strCache>
            </c:strRef>
          </c:cat>
          <c:val>
            <c:numRef>
              <c:f>Trainer_Master!$F$2:$F$41</c:f>
              <c:numCache>
                <c:formatCode>General</c:formatCode>
                <c:ptCount val="40"/>
                <c:pt idx="0">
                  <c:v>3.8</c:v>
                </c:pt>
                <c:pt idx="1">
                  <c:v>3.8</c:v>
                </c:pt>
                <c:pt idx="2">
                  <c:v>4</c:v>
                </c:pt>
                <c:pt idx="3">
                  <c:v>4.0999999999999996</c:v>
                </c:pt>
                <c:pt idx="4">
                  <c:v>4.2</c:v>
                </c:pt>
                <c:pt idx="5">
                  <c:v>4.8</c:v>
                </c:pt>
                <c:pt idx="6">
                  <c:v>4.9000000000000004</c:v>
                </c:pt>
                <c:pt idx="7">
                  <c:v>4.3</c:v>
                </c:pt>
                <c:pt idx="8">
                  <c:v>4.5999999999999996</c:v>
                </c:pt>
                <c:pt idx="9">
                  <c:v>4.9000000000000004</c:v>
                </c:pt>
                <c:pt idx="10">
                  <c:v>4.4000000000000004</c:v>
                </c:pt>
                <c:pt idx="11">
                  <c:v>4.5999999999999996</c:v>
                </c:pt>
                <c:pt idx="12">
                  <c:v>4</c:v>
                </c:pt>
                <c:pt idx="13">
                  <c:v>4.8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  <c:pt idx="17">
                  <c:v>4.5999999999999996</c:v>
                </c:pt>
                <c:pt idx="18">
                  <c:v>4.8</c:v>
                </c:pt>
                <c:pt idx="19">
                  <c:v>3.9</c:v>
                </c:pt>
                <c:pt idx="20">
                  <c:v>3.8</c:v>
                </c:pt>
                <c:pt idx="21">
                  <c:v>4.5999999999999996</c:v>
                </c:pt>
                <c:pt idx="22">
                  <c:v>4.3</c:v>
                </c:pt>
                <c:pt idx="23">
                  <c:v>3.9</c:v>
                </c:pt>
                <c:pt idx="24">
                  <c:v>4.4000000000000004</c:v>
                </c:pt>
                <c:pt idx="25">
                  <c:v>4.9000000000000004</c:v>
                </c:pt>
                <c:pt idx="26">
                  <c:v>4.8</c:v>
                </c:pt>
                <c:pt idx="27">
                  <c:v>4.5</c:v>
                </c:pt>
                <c:pt idx="28">
                  <c:v>4.3</c:v>
                </c:pt>
                <c:pt idx="29">
                  <c:v>4.3</c:v>
                </c:pt>
                <c:pt idx="30">
                  <c:v>5</c:v>
                </c:pt>
                <c:pt idx="31">
                  <c:v>5</c:v>
                </c:pt>
                <c:pt idx="32">
                  <c:v>4.9000000000000004</c:v>
                </c:pt>
                <c:pt idx="33">
                  <c:v>4.9000000000000004</c:v>
                </c:pt>
                <c:pt idx="34">
                  <c:v>4.7</c:v>
                </c:pt>
                <c:pt idx="35">
                  <c:v>4.5</c:v>
                </c:pt>
                <c:pt idx="36">
                  <c:v>5</c:v>
                </c:pt>
                <c:pt idx="37">
                  <c:v>4.5</c:v>
                </c:pt>
                <c:pt idx="38">
                  <c:v>4.3</c:v>
                </c:pt>
                <c:pt idx="39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2-4854-ADB4-D68AE7AF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5"/>
        <c:overlap val="-20"/>
        <c:axId val="1110072495"/>
        <c:axId val="1110056175"/>
      </c:barChart>
      <c:catAx>
        <c:axId val="111007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 rad="139700">
                    <a:schemeClr val="tx1">
                      <a:alpha val="40000"/>
                    </a:schemeClr>
                  </a:glow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6175"/>
        <c:crosses val="autoZero"/>
        <c:auto val="1"/>
        <c:lblAlgn val="ctr"/>
        <c:lblOffset val="100"/>
        <c:noMultiLvlLbl val="0"/>
      </c:catAx>
      <c:valAx>
        <c:axId val="111005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7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</xdr:row>
          <xdr:rowOff>15240</xdr:rowOff>
        </xdr:from>
        <xdr:to>
          <xdr:col>6</xdr:col>
          <xdr:colOff>655320</xdr:colOff>
          <xdr:row>1</xdr:row>
          <xdr:rowOff>175260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</xdr:row>
          <xdr:rowOff>15240</xdr:rowOff>
        </xdr:from>
        <xdr:to>
          <xdr:col>6</xdr:col>
          <xdr:colOff>655320</xdr:colOff>
          <xdr:row>2</xdr:row>
          <xdr:rowOff>175260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</xdr:row>
          <xdr:rowOff>15240</xdr:rowOff>
        </xdr:from>
        <xdr:to>
          <xdr:col>6</xdr:col>
          <xdr:colOff>655320</xdr:colOff>
          <xdr:row>3</xdr:row>
          <xdr:rowOff>175260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15240</xdr:rowOff>
        </xdr:from>
        <xdr:to>
          <xdr:col>6</xdr:col>
          <xdr:colOff>655320</xdr:colOff>
          <xdr:row>4</xdr:row>
          <xdr:rowOff>175260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15240</xdr:rowOff>
        </xdr:from>
        <xdr:to>
          <xdr:col>6</xdr:col>
          <xdr:colOff>655320</xdr:colOff>
          <xdr:row>5</xdr:row>
          <xdr:rowOff>175260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15240</xdr:rowOff>
        </xdr:from>
        <xdr:to>
          <xdr:col>6</xdr:col>
          <xdr:colOff>655320</xdr:colOff>
          <xdr:row>6</xdr:row>
          <xdr:rowOff>175260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15240</xdr:rowOff>
        </xdr:from>
        <xdr:to>
          <xdr:col>6</xdr:col>
          <xdr:colOff>655320</xdr:colOff>
          <xdr:row>7</xdr:row>
          <xdr:rowOff>175260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8</xdr:row>
          <xdr:rowOff>15240</xdr:rowOff>
        </xdr:from>
        <xdr:to>
          <xdr:col>6</xdr:col>
          <xdr:colOff>655320</xdr:colOff>
          <xdr:row>8</xdr:row>
          <xdr:rowOff>175260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9</xdr:row>
          <xdr:rowOff>15240</xdr:rowOff>
        </xdr:from>
        <xdr:to>
          <xdr:col>6</xdr:col>
          <xdr:colOff>655320</xdr:colOff>
          <xdr:row>9</xdr:row>
          <xdr:rowOff>175260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10</xdr:row>
          <xdr:rowOff>15240</xdr:rowOff>
        </xdr:from>
        <xdr:to>
          <xdr:col>6</xdr:col>
          <xdr:colOff>655320</xdr:colOff>
          <xdr:row>10</xdr:row>
          <xdr:rowOff>175260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11</xdr:row>
          <xdr:rowOff>15240</xdr:rowOff>
        </xdr:from>
        <xdr:to>
          <xdr:col>6</xdr:col>
          <xdr:colOff>655320</xdr:colOff>
          <xdr:row>11</xdr:row>
          <xdr:rowOff>175260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12</xdr:row>
          <xdr:rowOff>15240</xdr:rowOff>
        </xdr:from>
        <xdr:to>
          <xdr:col>6</xdr:col>
          <xdr:colOff>655320</xdr:colOff>
          <xdr:row>12</xdr:row>
          <xdr:rowOff>175260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13</xdr:row>
          <xdr:rowOff>15240</xdr:rowOff>
        </xdr:from>
        <xdr:to>
          <xdr:col>6</xdr:col>
          <xdr:colOff>655320</xdr:colOff>
          <xdr:row>13</xdr:row>
          <xdr:rowOff>175260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14</xdr:row>
          <xdr:rowOff>15240</xdr:rowOff>
        </xdr:from>
        <xdr:to>
          <xdr:col>6</xdr:col>
          <xdr:colOff>655320</xdr:colOff>
          <xdr:row>14</xdr:row>
          <xdr:rowOff>175260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15</xdr:row>
          <xdr:rowOff>15240</xdr:rowOff>
        </xdr:from>
        <xdr:to>
          <xdr:col>6</xdr:col>
          <xdr:colOff>655320</xdr:colOff>
          <xdr:row>15</xdr:row>
          <xdr:rowOff>175260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16</xdr:row>
          <xdr:rowOff>15240</xdr:rowOff>
        </xdr:from>
        <xdr:to>
          <xdr:col>6</xdr:col>
          <xdr:colOff>655320</xdr:colOff>
          <xdr:row>16</xdr:row>
          <xdr:rowOff>175260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17</xdr:row>
          <xdr:rowOff>15240</xdr:rowOff>
        </xdr:from>
        <xdr:to>
          <xdr:col>6</xdr:col>
          <xdr:colOff>655320</xdr:colOff>
          <xdr:row>17</xdr:row>
          <xdr:rowOff>175260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18</xdr:row>
          <xdr:rowOff>15240</xdr:rowOff>
        </xdr:from>
        <xdr:to>
          <xdr:col>6</xdr:col>
          <xdr:colOff>655320</xdr:colOff>
          <xdr:row>18</xdr:row>
          <xdr:rowOff>175260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19</xdr:row>
          <xdr:rowOff>15240</xdr:rowOff>
        </xdr:from>
        <xdr:to>
          <xdr:col>6</xdr:col>
          <xdr:colOff>655320</xdr:colOff>
          <xdr:row>19</xdr:row>
          <xdr:rowOff>175260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20</xdr:row>
          <xdr:rowOff>15240</xdr:rowOff>
        </xdr:from>
        <xdr:to>
          <xdr:col>6</xdr:col>
          <xdr:colOff>655320</xdr:colOff>
          <xdr:row>20</xdr:row>
          <xdr:rowOff>175260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21</xdr:row>
          <xdr:rowOff>15240</xdr:rowOff>
        </xdr:from>
        <xdr:to>
          <xdr:col>6</xdr:col>
          <xdr:colOff>655320</xdr:colOff>
          <xdr:row>21</xdr:row>
          <xdr:rowOff>175260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22</xdr:row>
          <xdr:rowOff>15240</xdr:rowOff>
        </xdr:from>
        <xdr:to>
          <xdr:col>6</xdr:col>
          <xdr:colOff>655320</xdr:colOff>
          <xdr:row>22</xdr:row>
          <xdr:rowOff>175260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23</xdr:row>
          <xdr:rowOff>15240</xdr:rowOff>
        </xdr:from>
        <xdr:to>
          <xdr:col>6</xdr:col>
          <xdr:colOff>655320</xdr:colOff>
          <xdr:row>23</xdr:row>
          <xdr:rowOff>175260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24</xdr:row>
          <xdr:rowOff>15240</xdr:rowOff>
        </xdr:from>
        <xdr:to>
          <xdr:col>6</xdr:col>
          <xdr:colOff>655320</xdr:colOff>
          <xdr:row>24</xdr:row>
          <xdr:rowOff>175260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25</xdr:row>
          <xdr:rowOff>15240</xdr:rowOff>
        </xdr:from>
        <xdr:to>
          <xdr:col>6</xdr:col>
          <xdr:colOff>655320</xdr:colOff>
          <xdr:row>25</xdr:row>
          <xdr:rowOff>175260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26</xdr:row>
          <xdr:rowOff>15240</xdr:rowOff>
        </xdr:from>
        <xdr:to>
          <xdr:col>6</xdr:col>
          <xdr:colOff>655320</xdr:colOff>
          <xdr:row>26</xdr:row>
          <xdr:rowOff>175260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27</xdr:row>
          <xdr:rowOff>15240</xdr:rowOff>
        </xdr:from>
        <xdr:to>
          <xdr:col>6</xdr:col>
          <xdr:colOff>655320</xdr:colOff>
          <xdr:row>27</xdr:row>
          <xdr:rowOff>175260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28</xdr:row>
          <xdr:rowOff>15240</xdr:rowOff>
        </xdr:from>
        <xdr:to>
          <xdr:col>6</xdr:col>
          <xdr:colOff>655320</xdr:colOff>
          <xdr:row>28</xdr:row>
          <xdr:rowOff>175260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29</xdr:row>
          <xdr:rowOff>15240</xdr:rowOff>
        </xdr:from>
        <xdr:to>
          <xdr:col>6</xdr:col>
          <xdr:colOff>655320</xdr:colOff>
          <xdr:row>29</xdr:row>
          <xdr:rowOff>175260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30</xdr:row>
          <xdr:rowOff>15240</xdr:rowOff>
        </xdr:from>
        <xdr:to>
          <xdr:col>6</xdr:col>
          <xdr:colOff>655320</xdr:colOff>
          <xdr:row>30</xdr:row>
          <xdr:rowOff>175260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31</xdr:row>
          <xdr:rowOff>15240</xdr:rowOff>
        </xdr:from>
        <xdr:to>
          <xdr:col>6</xdr:col>
          <xdr:colOff>655320</xdr:colOff>
          <xdr:row>31</xdr:row>
          <xdr:rowOff>175260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15240</xdr:rowOff>
        </xdr:from>
        <xdr:to>
          <xdr:col>6</xdr:col>
          <xdr:colOff>655320</xdr:colOff>
          <xdr:row>32</xdr:row>
          <xdr:rowOff>175260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33</xdr:row>
          <xdr:rowOff>15240</xdr:rowOff>
        </xdr:from>
        <xdr:to>
          <xdr:col>6</xdr:col>
          <xdr:colOff>655320</xdr:colOff>
          <xdr:row>33</xdr:row>
          <xdr:rowOff>175260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34</xdr:row>
          <xdr:rowOff>15240</xdr:rowOff>
        </xdr:from>
        <xdr:to>
          <xdr:col>6</xdr:col>
          <xdr:colOff>655320</xdr:colOff>
          <xdr:row>34</xdr:row>
          <xdr:rowOff>175260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35</xdr:row>
          <xdr:rowOff>15240</xdr:rowOff>
        </xdr:from>
        <xdr:to>
          <xdr:col>6</xdr:col>
          <xdr:colOff>655320</xdr:colOff>
          <xdr:row>35</xdr:row>
          <xdr:rowOff>175260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36</xdr:row>
          <xdr:rowOff>15240</xdr:rowOff>
        </xdr:from>
        <xdr:to>
          <xdr:col>6</xdr:col>
          <xdr:colOff>655320</xdr:colOff>
          <xdr:row>36</xdr:row>
          <xdr:rowOff>175260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37</xdr:row>
          <xdr:rowOff>15240</xdr:rowOff>
        </xdr:from>
        <xdr:to>
          <xdr:col>6</xdr:col>
          <xdr:colOff>655320</xdr:colOff>
          <xdr:row>37</xdr:row>
          <xdr:rowOff>175260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38</xdr:row>
          <xdr:rowOff>15240</xdr:rowOff>
        </xdr:from>
        <xdr:to>
          <xdr:col>6</xdr:col>
          <xdr:colOff>655320</xdr:colOff>
          <xdr:row>38</xdr:row>
          <xdr:rowOff>175260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39</xdr:row>
          <xdr:rowOff>15240</xdr:rowOff>
        </xdr:from>
        <xdr:to>
          <xdr:col>6</xdr:col>
          <xdr:colOff>655320</xdr:colOff>
          <xdr:row>39</xdr:row>
          <xdr:rowOff>175260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40</xdr:row>
          <xdr:rowOff>15240</xdr:rowOff>
        </xdr:from>
        <xdr:to>
          <xdr:col>6</xdr:col>
          <xdr:colOff>655320</xdr:colOff>
          <xdr:row>40</xdr:row>
          <xdr:rowOff>175260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View Calendar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11</xdr:row>
      <xdr:rowOff>98145</xdr:rowOff>
    </xdr:from>
    <xdr:to>
      <xdr:col>10</xdr:col>
      <xdr:colOff>0</xdr:colOff>
      <xdr:row>25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090AB-934F-4DAF-AC9C-E0CC708A3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836176</xdr:colOff>
      <xdr:row>14</xdr:row>
      <xdr:rowOff>97972</xdr:rowOff>
    </xdr:from>
    <xdr:to>
      <xdr:col>4</xdr:col>
      <xdr:colOff>859971</xdr:colOff>
      <xdr:row>25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A4CDE-C17C-418C-9BA9-62FEA96AE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3</xdr:col>
      <xdr:colOff>664028</xdr:colOff>
      <xdr:row>29</xdr:row>
      <xdr:rowOff>185057</xdr:rowOff>
    </xdr:to>
    <xdr:sp macro="[0]!EmailToSPOC" textlink="">
      <xdr:nvSpPr>
        <xdr:cNvPr id="13" name="Rectangle 12">
          <a:extLst>
            <a:ext uri="{FF2B5EF4-FFF2-40B4-BE49-F238E27FC236}">
              <a16:creationId xmlns:a16="http://schemas.microsoft.com/office/drawing/2014/main" id="{DE2578EA-7848-40BE-AF8E-6D1584CC626C}"/>
            </a:ext>
          </a:extLst>
        </xdr:cNvPr>
        <xdr:cNvSpPr/>
      </xdr:nvSpPr>
      <xdr:spPr>
        <a:xfrm>
          <a:off x="881743" y="6901543"/>
          <a:ext cx="2710542" cy="9361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/>
            <a:t> </a:t>
          </a:r>
          <a:r>
            <a:rPr lang="en-IN" sz="2800" b="1"/>
            <a:t>📧 Email SPOC</a:t>
          </a:r>
        </a:p>
      </xdr:txBody>
    </xdr:sp>
    <xdr:clientData/>
  </xdr:twoCellAnchor>
  <xdr:twoCellAnchor>
    <xdr:from>
      <xdr:col>7</xdr:col>
      <xdr:colOff>150334</xdr:colOff>
      <xdr:row>26</xdr:row>
      <xdr:rowOff>32657</xdr:rowOff>
    </xdr:from>
    <xdr:to>
      <xdr:col>10</xdr:col>
      <xdr:colOff>198151</xdr:colOff>
      <xdr:row>29</xdr:row>
      <xdr:rowOff>206829</xdr:rowOff>
    </xdr:to>
    <xdr:sp macro="[0]!ConflictAlert" textlink="">
      <xdr:nvSpPr>
        <xdr:cNvPr id="9" name="Rectangle 8">
          <a:extLst>
            <a:ext uri="{FF2B5EF4-FFF2-40B4-BE49-F238E27FC236}">
              <a16:creationId xmlns:a16="http://schemas.microsoft.com/office/drawing/2014/main" id="{319621D7-3411-4FB0-B521-C250B3C13D4E}"/>
            </a:ext>
          </a:extLst>
        </xdr:cNvPr>
        <xdr:cNvSpPr/>
      </xdr:nvSpPr>
      <xdr:spPr>
        <a:xfrm>
          <a:off x="6820595" y="7034222"/>
          <a:ext cx="2963295" cy="9361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1"/>
            <a:t>⚠️ Check Conflicts</a:t>
          </a:r>
        </a:p>
      </xdr:txBody>
    </xdr:sp>
    <xdr:clientData/>
  </xdr:twoCellAnchor>
  <xdr:twoCellAnchor>
    <xdr:from>
      <xdr:col>3</xdr:col>
      <xdr:colOff>838200</xdr:colOff>
      <xdr:row>26</xdr:row>
      <xdr:rowOff>21771</xdr:rowOff>
    </xdr:from>
    <xdr:to>
      <xdr:col>6</xdr:col>
      <xdr:colOff>1099456</xdr:colOff>
      <xdr:row>29</xdr:row>
      <xdr:rowOff>185057</xdr:rowOff>
    </xdr:to>
    <xdr:sp macro="[0]!ColorStatusColumn" textlink="">
      <xdr:nvSpPr>
        <xdr:cNvPr id="10" name="Rectangle 9">
          <a:extLst>
            <a:ext uri="{FF2B5EF4-FFF2-40B4-BE49-F238E27FC236}">
              <a16:creationId xmlns:a16="http://schemas.microsoft.com/office/drawing/2014/main" id="{2D5A67A5-7D6E-46C8-8D4D-E4DECBDB9C50}"/>
            </a:ext>
          </a:extLst>
        </xdr:cNvPr>
        <xdr:cNvSpPr/>
      </xdr:nvSpPr>
      <xdr:spPr>
        <a:xfrm>
          <a:off x="3766457" y="6923314"/>
          <a:ext cx="2906485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/>
            <a:t>  </a:t>
          </a:r>
          <a:r>
            <a:rPr lang="en-IN" sz="3200" b="1"/>
            <a:t>🔄 Refresh</a:t>
          </a:r>
        </a:p>
      </xdr:txBody>
    </xdr:sp>
    <xdr:clientData/>
  </xdr:twoCellAnchor>
  <xdr:twoCellAnchor>
    <xdr:from>
      <xdr:col>11</xdr:col>
      <xdr:colOff>92363</xdr:colOff>
      <xdr:row>6</xdr:row>
      <xdr:rowOff>34636</xdr:rowOff>
    </xdr:from>
    <xdr:to>
      <xdr:col>12</xdr:col>
      <xdr:colOff>334818</xdr:colOff>
      <xdr:row>6</xdr:row>
      <xdr:rowOff>230909</xdr:rowOff>
    </xdr:to>
    <xdr:sp macro="[0]!PrevWeeks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EE3ECD9-3481-5E3F-126E-2F807BEF7EA7}"/>
            </a:ext>
          </a:extLst>
        </xdr:cNvPr>
        <xdr:cNvSpPr/>
      </xdr:nvSpPr>
      <xdr:spPr>
        <a:xfrm>
          <a:off x="10702636" y="1939636"/>
          <a:ext cx="1119909" cy="19627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◄ Prev</a:t>
          </a:r>
        </a:p>
      </xdr:txBody>
    </xdr:sp>
    <xdr:clientData/>
  </xdr:twoCellAnchor>
  <xdr:twoCellAnchor>
    <xdr:from>
      <xdr:col>17</xdr:col>
      <xdr:colOff>196272</xdr:colOff>
      <xdr:row>6</xdr:row>
      <xdr:rowOff>0</xdr:rowOff>
    </xdr:from>
    <xdr:to>
      <xdr:col>18</xdr:col>
      <xdr:colOff>531090</xdr:colOff>
      <xdr:row>7</xdr:row>
      <xdr:rowOff>11545</xdr:rowOff>
    </xdr:to>
    <xdr:sp macro="[0]!PrevWeeks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6DA96C0-C8CC-3B07-C4E4-7F208FF9BCED}"/>
            </a:ext>
          </a:extLst>
        </xdr:cNvPr>
        <xdr:cNvSpPr/>
      </xdr:nvSpPr>
      <xdr:spPr>
        <a:xfrm>
          <a:off x="16071272" y="1905000"/>
          <a:ext cx="946727" cy="26554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Next ►</a:t>
          </a:r>
        </a:p>
      </xdr:txBody>
    </xdr:sp>
    <xdr:clientData/>
  </xdr:twoCellAnchor>
  <xdr:twoCellAnchor>
    <xdr:from>
      <xdr:col>19</xdr:col>
      <xdr:colOff>450273</xdr:colOff>
      <xdr:row>10</xdr:row>
      <xdr:rowOff>208280</xdr:rowOff>
    </xdr:from>
    <xdr:to>
      <xdr:col>19</xdr:col>
      <xdr:colOff>563217</xdr:colOff>
      <xdr:row>11</xdr:row>
      <xdr:rowOff>33130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AEF0103F-718C-10D3-836D-97638D0DEEAF}"/>
            </a:ext>
          </a:extLst>
        </xdr:cNvPr>
        <xdr:cNvSpPr txBox="1">
          <a:spLocks noChangeArrowheads="1"/>
        </xdr:cNvSpPr>
      </xdr:nvSpPr>
      <xdr:spPr bwMode="auto">
        <a:xfrm flipH="1" flipV="1">
          <a:off x="17468273" y="3145845"/>
          <a:ext cx="112944" cy="78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375478</xdr:colOff>
      <xdr:row>26</xdr:row>
      <xdr:rowOff>22086</xdr:rowOff>
    </xdr:from>
    <xdr:to>
      <xdr:col>13</xdr:col>
      <xdr:colOff>154609</xdr:colOff>
      <xdr:row>29</xdr:row>
      <xdr:rowOff>165651</xdr:rowOff>
    </xdr:to>
    <xdr:sp macro="[0]!PrintTrainerReport" textlink="">
      <xdr:nvSpPr>
        <xdr:cNvPr id="5" name="Rectangle 4">
          <a:extLst>
            <a:ext uri="{FF2B5EF4-FFF2-40B4-BE49-F238E27FC236}">
              <a16:creationId xmlns:a16="http://schemas.microsoft.com/office/drawing/2014/main" id="{E03827BE-DA30-7E67-B464-C89BC9BCA278}"/>
            </a:ext>
          </a:extLst>
        </xdr:cNvPr>
        <xdr:cNvSpPr/>
      </xdr:nvSpPr>
      <xdr:spPr>
        <a:xfrm>
          <a:off x="10071652" y="7023651"/>
          <a:ext cx="2396435" cy="9055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1"/>
            <a:t>🖨️ Print Report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41" Type="http://schemas.openxmlformats.org/officeDocument/2006/relationships/ctrlProp" Target="../ctrlProps/ctrlProp3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1"/>
  <sheetViews>
    <sheetView zoomScale="115" zoomScaleNormal="115" workbookViewId="0">
      <selection activeCell="G2" sqref="G2"/>
    </sheetView>
  </sheetViews>
  <sheetFormatPr defaultRowHeight="14.4"/>
  <cols>
    <col min="1" max="1" width="12.77734375" customWidth="1"/>
    <col min="2" max="2" width="13.88671875" customWidth="1"/>
    <col min="3" max="3" width="14.77734375" customWidth="1"/>
    <col min="4" max="4" width="19" customWidth="1"/>
    <col min="5" max="5" width="16.5546875" customWidth="1"/>
    <col min="6" max="6" width="10.6640625" customWidth="1"/>
    <col min="7" max="7" width="12.44140625" customWidth="1"/>
    <col min="8" max="8" width="13.77734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581</v>
      </c>
      <c r="H1" t="s">
        <v>582</v>
      </c>
    </row>
    <row r="2" spans="1:8">
      <c r="A2" t="s">
        <v>6</v>
      </c>
      <c r="B2" t="s">
        <v>7</v>
      </c>
      <c r="C2" t="s">
        <v>8</v>
      </c>
      <c r="D2" t="s">
        <v>9</v>
      </c>
      <c r="E2">
        <v>14</v>
      </c>
      <c r="F2">
        <v>3.8</v>
      </c>
      <c r="H2" s="2" t="str">
        <f>IF(COUNTIFS(Engagements!B:B,A2,Engagements!F:F,"Ongoing")&gt;0,"BUSY",IF(COUNTIFS(Engagements!B:B,A2,Engagements!F:F,"Scheduled")&gt;0,"UPCOMING","FREE"))</f>
        <v>UPCOMING</v>
      </c>
    </row>
    <row r="3" spans="1:8">
      <c r="A3" t="s">
        <v>10</v>
      </c>
      <c r="B3" t="s">
        <v>11</v>
      </c>
      <c r="C3" t="s">
        <v>12</v>
      </c>
      <c r="D3" t="s">
        <v>13</v>
      </c>
      <c r="E3">
        <v>9</v>
      </c>
      <c r="F3">
        <v>3.8</v>
      </c>
      <c r="H3" s="3" t="str">
        <f>IF(COUNTIFS(Engagements!B:B,A3,Engagements!F:F,"Ongoing")&gt;0,"BUSY",IF(COUNTIFS(Engagements!B:B,A3,Engagements!F:F,"Scheduled")&gt;0,"UPCOMING","FREE"))</f>
        <v>BUSY</v>
      </c>
    </row>
    <row r="4" spans="1:8">
      <c r="A4" t="s">
        <v>14</v>
      </c>
      <c r="B4" t="s">
        <v>15</v>
      </c>
      <c r="C4" t="s">
        <v>16</v>
      </c>
      <c r="D4" t="s">
        <v>12</v>
      </c>
      <c r="E4">
        <v>12</v>
      </c>
      <c r="F4">
        <v>4</v>
      </c>
      <c r="H4" s="3" t="str">
        <f>IF(COUNTIFS(Engagements!B:B,A4,Engagements!F:F,"Ongoing")&gt;0,"BUSY",IF(COUNTIFS(Engagements!B:B,A4,Engagements!F:F,"Scheduled")&gt;0,"UPCOMING","FREE"))</f>
        <v>BUSY</v>
      </c>
    </row>
    <row r="5" spans="1:8">
      <c r="A5" t="s">
        <v>17</v>
      </c>
      <c r="B5" t="s">
        <v>18</v>
      </c>
      <c r="C5" t="s">
        <v>12</v>
      </c>
      <c r="D5" t="s">
        <v>13</v>
      </c>
      <c r="E5">
        <v>5</v>
      </c>
      <c r="F5">
        <v>4.0999999999999996</v>
      </c>
      <c r="H5" s="3" t="str">
        <f>IF(COUNTIFS(Engagements!B:B,A5,Engagements!F:F,"Ongoing")&gt;0,"BUSY",IF(COUNTIFS(Engagements!B:B,A5,Engagements!F:F,"Scheduled")&gt;0,"UPCOMING","FREE"))</f>
        <v>BUSY</v>
      </c>
    </row>
    <row r="6" spans="1:8">
      <c r="A6" t="s">
        <v>19</v>
      </c>
      <c r="B6" t="s">
        <v>20</v>
      </c>
      <c r="C6" t="s">
        <v>9</v>
      </c>
      <c r="D6" t="s">
        <v>12</v>
      </c>
      <c r="E6">
        <v>12</v>
      </c>
      <c r="F6">
        <v>4.2</v>
      </c>
      <c r="H6" s="3" t="str">
        <f>IF(COUNTIFS(Engagements!B:B,A6,Engagements!F:F,"Ongoing")&gt;0,"BUSY",IF(COUNTIFS(Engagements!B:B,A6,Engagements!F:F,"Scheduled")&gt;0,"UPCOMING","FREE"))</f>
        <v>BUSY</v>
      </c>
    </row>
    <row r="7" spans="1:8">
      <c r="A7" t="s">
        <v>21</v>
      </c>
      <c r="B7" t="s">
        <v>22</v>
      </c>
      <c r="C7" t="s">
        <v>13</v>
      </c>
      <c r="D7" t="s">
        <v>9</v>
      </c>
      <c r="E7">
        <v>2</v>
      </c>
      <c r="F7">
        <v>4.8</v>
      </c>
      <c r="H7" s="3" t="str">
        <f>IF(COUNTIFS(Engagements!B:B,A7,Engagements!F:F,"Ongoing")&gt;0,"BUSY",IF(COUNTIFS(Engagements!B:B,A7,Engagements!F:F,"Scheduled")&gt;0,"UPCOMING","FREE"))</f>
        <v>BUSY</v>
      </c>
    </row>
    <row r="8" spans="1:8">
      <c r="A8" t="s">
        <v>23</v>
      </c>
      <c r="B8" t="s">
        <v>24</v>
      </c>
      <c r="C8" t="s">
        <v>13</v>
      </c>
      <c r="D8" t="s">
        <v>13</v>
      </c>
      <c r="E8">
        <v>12</v>
      </c>
      <c r="F8">
        <v>4.9000000000000004</v>
      </c>
      <c r="H8" s="3" t="str">
        <f>IF(COUNTIFS(Engagements!B:B,A8,Engagements!F:F,"Ongoing")&gt;0,"BUSY",IF(COUNTIFS(Engagements!B:B,A8,Engagements!F:F,"Scheduled")&gt;0,"UPCOMING","FREE"))</f>
        <v>BUSY</v>
      </c>
    </row>
    <row r="9" spans="1:8">
      <c r="A9" t="s">
        <v>25</v>
      </c>
      <c r="B9" t="s">
        <v>26</v>
      </c>
      <c r="C9" t="s">
        <v>9</v>
      </c>
      <c r="D9" t="s">
        <v>13</v>
      </c>
      <c r="E9">
        <v>12</v>
      </c>
      <c r="F9">
        <v>4.3</v>
      </c>
      <c r="H9" s="3" t="str">
        <f>IF(COUNTIFS(Engagements!B:B,A9,Engagements!F:F,"Ongoing")&gt;0,"BUSY",IF(COUNTIFS(Engagements!B:B,A9,Engagements!F:F,"Scheduled")&gt;0,"UPCOMING","FREE"))</f>
        <v>BUSY</v>
      </c>
    </row>
    <row r="10" spans="1:8">
      <c r="A10" t="s">
        <v>27</v>
      </c>
      <c r="B10" t="s">
        <v>22</v>
      </c>
      <c r="C10" t="s">
        <v>8</v>
      </c>
      <c r="D10" t="s">
        <v>12</v>
      </c>
      <c r="E10">
        <v>12</v>
      </c>
      <c r="F10">
        <v>4.5999999999999996</v>
      </c>
      <c r="H10" s="3" t="str">
        <f>IF(COUNTIFS(Engagements!B:B,A10,Engagements!F:F,"Ongoing")&gt;0,"BUSY",IF(COUNTIFS(Engagements!B:B,A10,Engagements!F:F,"Scheduled")&gt;0,"UPCOMING","FREE"))</f>
        <v>BUSY</v>
      </c>
    </row>
    <row r="11" spans="1:8">
      <c r="A11" t="s">
        <v>28</v>
      </c>
      <c r="B11" t="s">
        <v>29</v>
      </c>
      <c r="C11" t="s">
        <v>13</v>
      </c>
      <c r="D11" t="s">
        <v>12</v>
      </c>
      <c r="E11">
        <v>10</v>
      </c>
      <c r="F11">
        <v>4.9000000000000004</v>
      </c>
      <c r="H11" s="3" t="str">
        <f>IF(COUNTIFS(Engagements!B:B,A11,Engagements!F:F,"Ongoing")&gt;0,"BUSY",IF(COUNTIFS(Engagements!B:B,A11,Engagements!F:F,"Scheduled")&gt;0,"UPCOMING","FREE"))</f>
        <v>BUSY</v>
      </c>
    </row>
    <row r="12" spans="1:8">
      <c r="A12" t="s">
        <v>30</v>
      </c>
      <c r="B12" t="s">
        <v>31</v>
      </c>
      <c r="C12" t="s">
        <v>9</v>
      </c>
      <c r="D12" t="s">
        <v>9</v>
      </c>
      <c r="E12">
        <v>3</v>
      </c>
      <c r="F12">
        <v>4.4000000000000004</v>
      </c>
      <c r="H12" s="3" t="str">
        <f>IF(COUNTIFS(Engagements!B:B,A12,Engagements!F:F,"Ongoing")&gt;0,"BUSY",IF(COUNTIFS(Engagements!B:B,A12,Engagements!F:F,"Scheduled")&gt;0,"UPCOMING","FREE"))</f>
        <v>BUSY</v>
      </c>
    </row>
    <row r="13" spans="1:8">
      <c r="A13" t="s">
        <v>32</v>
      </c>
      <c r="B13" t="s">
        <v>33</v>
      </c>
      <c r="C13" t="s">
        <v>9</v>
      </c>
      <c r="D13" t="s">
        <v>8</v>
      </c>
      <c r="E13">
        <v>5</v>
      </c>
      <c r="F13">
        <v>4.5999999999999996</v>
      </c>
      <c r="H13" s="3" t="str">
        <f>IF(COUNTIFS(Engagements!B:B,A13,Engagements!F:F,"Ongoing")&gt;0,"BUSY",IF(COUNTIFS(Engagements!B:B,A13,Engagements!F:F,"Scheduled")&gt;0,"UPCOMING","FREE"))</f>
        <v>BUSY</v>
      </c>
    </row>
    <row r="14" spans="1:8">
      <c r="A14" t="s">
        <v>34</v>
      </c>
      <c r="B14" t="s">
        <v>35</v>
      </c>
      <c r="C14" t="s">
        <v>9</v>
      </c>
      <c r="D14" t="s">
        <v>13</v>
      </c>
      <c r="E14">
        <v>4</v>
      </c>
      <c r="F14">
        <v>4</v>
      </c>
      <c r="H14" s="3" t="str">
        <f>IF(COUNTIFS(Engagements!B:B,A14,Engagements!F:F,"Ongoing")&gt;0,"BUSY",IF(COUNTIFS(Engagements!B:B,A14,Engagements!F:F,"Scheduled")&gt;0,"UPCOMING","FREE"))</f>
        <v>BUSY</v>
      </c>
    </row>
    <row r="15" spans="1:8">
      <c r="A15" t="s">
        <v>36</v>
      </c>
      <c r="B15" t="s">
        <v>37</v>
      </c>
      <c r="C15" t="s">
        <v>12</v>
      </c>
      <c r="D15" t="s">
        <v>9</v>
      </c>
      <c r="E15">
        <v>7</v>
      </c>
      <c r="F15">
        <v>4.8</v>
      </c>
      <c r="H15" s="3" t="str">
        <f>IF(COUNTIFS(Engagements!B:B,A15,Engagements!F:F,"Ongoing")&gt;0,"BUSY",IF(COUNTIFS(Engagements!B:B,A15,Engagements!F:F,"Scheduled")&gt;0,"UPCOMING","FREE"))</f>
        <v>BUSY</v>
      </c>
    </row>
    <row r="16" spans="1:8">
      <c r="A16" t="s">
        <v>38</v>
      </c>
      <c r="B16" t="s">
        <v>39</v>
      </c>
      <c r="C16" t="s">
        <v>8</v>
      </c>
      <c r="D16" t="s">
        <v>13</v>
      </c>
      <c r="E16">
        <v>3</v>
      </c>
      <c r="F16">
        <v>5</v>
      </c>
      <c r="H16" s="3" t="str">
        <f>IF(COUNTIFS(Engagements!B:B,A16,Engagements!F:F,"Ongoing")&gt;0,"BUSY",IF(COUNTIFS(Engagements!B:B,A16,Engagements!F:F,"Scheduled")&gt;0,"UPCOMING","FREE"))</f>
        <v>BUSY</v>
      </c>
    </row>
    <row r="17" spans="1:8">
      <c r="A17" t="s">
        <v>40</v>
      </c>
      <c r="B17" t="s">
        <v>24</v>
      </c>
      <c r="C17" t="s">
        <v>12</v>
      </c>
      <c r="D17" t="s">
        <v>13</v>
      </c>
      <c r="E17">
        <v>3</v>
      </c>
      <c r="F17">
        <v>4.4000000000000004</v>
      </c>
      <c r="H17" s="3" t="str">
        <f>IF(COUNTIFS(Engagements!B:B,A17,Engagements!F:F,"Ongoing")&gt;0,"BUSY",IF(COUNTIFS(Engagements!B:B,A17,Engagements!F:F,"Scheduled")&gt;0,"UPCOMING","FREE"))</f>
        <v>BUSY</v>
      </c>
    </row>
    <row r="18" spans="1:8">
      <c r="A18" t="s">
        <v>41</v>
      </c>
      <c r="B18" t="s">
        <v>42</v>
      </c>
      <c r="C18" t="s">
        <v>13</v>
      </c>
      <c r="D18" t="s">
        <v>8</v>
      </c>
      <c r="E18">
        <v>6</v>
      </c>
      <c r="F18">
        <v>5</v>
      </c>
      <c r="H18" s="3" t="str">
        <f>IF(COUNTIFS(Engagements!B:B,A18,Engagements!F:F,"Ongoing")&gt;0,"BUSY",IF(COUNTIFS(Engagements!B:B,A18,Engagements!F:F,"Scheduled")&gt;0,"UPCOMING","FREE"))</f>
        <v>BUSY</v>
      </c>
    </row>
    <row r="19" spans="1:8">
      <c r="A19" t="s">
        <v>43</v>
      </c>
      <c r="B19" t="s">
        <v>44</v>
      </c>
      <c r="C19" t="s">
        <v>16</v>
      </c>
      <c r="D19" t="s">
        <v>13</v>
      </c>
      <c r="E19">
        <v>3</v>
      </c>
      <c r="F19">
        <v>4.5999999999999996</v>
      </c>
      <c r="H19" s="3" t="str">
        <f>IF(COUNTIFS(Engagements!B:B,A19,Engagements!F:F,"Ongoing")&gt;0,"BUSY",IF(COUNTIFS(Engagements!B:B,A19,Engagements!F:F,"Scheduled")&gt;0,"UPCOMING","FREE"))</f>
        <v>BUSY</v>
      </c>
    </row>
    <row r="20" spans="1:8">
      <c r="A20" t="s">
        <v>45</v>
      </c>
      <c r="B20" t="s">
        <v>46</v>
      </c>
      <c r="C20" t="s">
        <v>16</v>
      </c>
      <c r="D20" t="s">
        <v>16</v>
      </c>
      <c r="E20">
        <v>6</v>
      </c>
      <c r="F20">
        <v>4.8</v>
      </c>
      <c r="H20" s="3" t="str">
        <f>IF(COUNTIFS(Engagements!B:B,A20,Engagements!F:F,"Ongoing")&gt;0,"BUSY",IF(COUNTIFS(Engagements!B:B,A20,Engagements!F:F,"Scheduled")&gt;0,"UPCOMING","FREE"))</f>
        <v>BUSY</v>
      </c>
    </row>
    <row r="21" spans="1:8">
      <c r="A21" t="s">
        <v>47</v>
      </c>
      <c r="B21" t="s">
        <v>48</v>
      </c>
      <c r="C21" t="s">
        <v>8</v>
      </c>
      <c r="D21" t="s">
        <v>13</v>
      </c>
      <c r="E21">
        <v>3</v>
      </c>
      <c r="F21">
        <v>3.9</v>
      </c>
      <c r="H21" s="3" t="str">
        <f>IF(COUNTIFS(Engagements!B:B,A21,Engagements!F:F,"Ongoing")&gt;0,"BUSY",IF(COUNTIFS(Engagements!B:B,A21,Engagements!F:F,"Scheduled")&gt;0,"UPCOMING","FREE"))</f>
        <v>BUSY</v>
      </c>
    </row>
    <row r="22" spans="1:8">
      <c r="A22" t="s">
        <v>49</v>
      </c>
      <c r="B22" t="s">
        <v>50</v>
      </c>
      <c r="C22" t="s">
        <v>13</v>
      </c>
      <c r="D22" t="s">
        <v>9</v>
      </c>
      <c r="E22">
        <v>10</v>
      </c>
      <c r="F22">
        <v>3.8</v>
      </c>
      <c r="H22" s="3" t="str">
        <f>IF(COUNTIFS(Engagements!B:B,A22,Engagements!F:F,"Ongoing")&gt;0,"BUSY",IF(COUNTIFS(Engagements!B:B,A22,Engagements!F:F,"Scheduled")&gt;0,"UPCOMING","FREE"))</f>
        <v>BUSY</v>
      </c>
    </row>
    <row r="23" spans="1:8">
      <c r="A23" t="s">
        <v>51</v>
      </c>
      <c r="B23" t="s">
        <v>52</v>
      </c>
      <c r="C23" t="s">
        <v>12</v>
      </c>
      <c r="D23" t="s">
        <v>8</v>
      </c>
      <c r="E23">
        <v>4</v>
      </c>
      <c r="F23">
        <v>4.5999999999999996</v>
      </c>
      <c r="H23" s="3" t="str">
        <f>IF(COUNTIFS(Engagements!B:B,A23,Engagements!F:F,"Ongoing")&gt;0,"BUSY",IF(COUNTIFS(Engagements!B:B,A23,Engagements!F:F,"Scheduled")&gt;0,"UPCOMING","FREE"))</f>
        <v>BUSY</v>
      </c>
    </row>
    <row r="24" spans="1:8">
      <c r="A24" t="s">
        <v>53</v>
      </c>
      <c r="B24" t="s">
        <v>24</v>
      </c>
      <c r="C24" t="s">
        <v>12</v>
      </c>
      <c r="D24" t="s">
        <v>8</v>
      </c>
      <c r="E24">
        <v>7</v>
      </c>
      <c r="F24">
        <v>4.3</v>
      </c>
      <c r="H24" s="3" t="str">
        <f>IF(COUNTIFS(Engagements!B:B,A24,Engagements!F:F,"Ongoing")&gt;0,"BUSY",IF(COUNTIFS(Engagements!B:B,A24,Engagements!F:F,"Scheduled")&gt;0,"UPCOMING","FREE"))</f>
        <v>BUSY</v>
      </c>
    </row>
    <row r="25" spans="1:8">
      <c r="A25" t="s">
        <v>54</v>
      </c>
      <c r="B25" t="s">
        <v>18</v>
      </c>
      <c r="C25" t="s">
        <v>9</v>
      </c>
      <c r="D25" t="s">
        <v>12</v>
      </c>
      <c r="E25">
        <v>11</v>
      </c>
      <c r="F25">
        <v>3.9</v>
      </c>
      <c r="H25" s="2" t="str">
        <f>IF(COUNTIFS(Engagements!B:B,A25,Engagements!F:F,"Ongoing")&gt;0,"BUSY",IF(COUNTIFS(Engagements!B:B,A25,Engagements!F:F,"Scheduled")&gt;0,"UPCOMING","FREE"))</f>
        <v>UPCOMING</v>
      </c>
    </row>
    <row r="26" spans="1:8">
      <c r="A26" t="s">
        <v>55</v>
      </c>
      <c r="B26" t="s">
        <v>56</v>
      </c>
      <c r="C26" t="s">
        <v>8</v>
      </c>
      <c r="D26" t="s">
        <v>8</v>
      </c>
      <c r="E26">
        <v>6</v>
      </c>
      <c r="F26">
        <v>4.4000000000000004</v>
      </c>
      <c r="H26" s="3" t="str">
        <f>IF(COUNTIFS(Engagements!B:B,A26,Engagements!F:F,"Ongoing")&gt;0,"BUSY",IF(COUNTIFS(Engagements!B:B,A26,Engagements!F:F,"Scheduled")&gt;0,"UPCOMING","FREE"))</f>
        <v>BUSY</v>
      </c>
    </row>
    <row r="27" spans="1:8">
      <c r="A27" t="s">
        <v>57</v>
      </c>
      <c r="B27" t="s">
        <v>52</v>
      </c>
      <c r="C27" t="s">
        <v>16</v>
      </c>
      <c r="D27" t="s">
        <v>9</v>
      </c>
      <c r="E27">
        <v>2</v>
      </c>
      <c r="F27">
        <v>4.9000000000000004</v>
      </c>
      <c r="H27" s="3" t="str">
        <f>IF(COUNTIFS(Engagements!B:B,A27,Engagements!F:F,"Ongoing")&gt;0,"BUSY",IF(COUNTIFS(Engagements!B:B,A27,Engagements!F:F,"Scheduled")&gt;0,"UPCOMING","FREE"))</f>
        <v>BUSY</v>
      </c>
    </row>
    <row r="28" spans="1:8">
      <c r="A28" t="s">
        <v>58</v>
      </c>
      <c r="B28" t="s">
        <v>29</v>
      </c>
      <c r="C28" t="s">
        <v>13</v>
      </c>
      <c r="D28" t="s">
        <v>9</v>
      </c>
      <c r="E28">
        <v>3</v>
      </c>
      <c r="F28">
        <v>4.8</v>
      </c>
      <c r="H28" s="3" t="str">
        <f>IF(COUNTIFS(Engagements!B:B,A28,Engagements!F:F,"Ongoing")&gt;0,"BUSY",IF(COUNTIFS(Engagements!B:B,A28,Engagements!F:F,"Scheduled")&gt;0,"UPCOMING","FREE"))</f>
        <v>BUSY</v>
      </c>
    </row>
    <row r="29" spans="1:8">
      <c r="A29" t="s">
        <v>59</v>
      </c>
      <c r="B29" t="s">
        <v>60</v>
      </c>
      <c r="C29" t="s">
        <v>16</v>
      </c>
      <c r="D29" t="s">
        <v>16</v>
      </c>
      <c r="E29">
        <v>10</v>
      </c>
      <c r="F29">
        <v>4.5</v>
      </c>
      <c r="H29" s="3" t="str">
        <f>IF(COUNTIFS(Engagements!B:B,A29,Engagements!F:F,"Ongoing")&gt;0,"BUSY",IF(COUNTIFS(Engagements!B:B,A29,Engagements!F:F,"Scheduled")&gt;0,"UPCOMING","FREE"))</f>
        <v>BUSY</v>
      </c>
    </row>
    <row r="30" spans="1:8">
      <c r="A30" t="s">
        <v>61</v>
      </c>
      <c r="B30" t="s">
        <v>20</v>
      </c>
      <c r="C30" t="s">
        <v>13</v>
      </c>
      <c r="D30" t="s">
        <v>8</v>
      </c>
      <c r="E30">
        <v>11</v>
      </c>
      <c r="F30">
        <v>4.3</v>
      </c>
      <c r="H30" s="3" t="str">
        <f>IF(COUNTIFS(Engagements!B:B,A30,Engagements!F:F,"Ongoing")&gt;0,"BUSY",IF(COUNTIFS(Engagements!B:B,A30,Engagements!F:F,"Scheduled")&gt;0,"UPCOMING","FREE"))</f>
        <v>BUSY</v>
      </c>
    </row>
    <row r="31" spans="1:8">
      <c r="A31" t="s">
        <v>62</v>
      </c>
      <c r="B31" t="s">
        <v>63</v>
      </c>
      <c r="C31" t="s">
        <v>9</v>
      </c>
      <c r="D31" t="s">
        <v>12</v>
      </c>
      <c r="E31">
        <v>12</v>
      </c>
      <c r="F31">
        <v>4.3</v>
      </c>
      <c r="H31" s="3" t="str">
        <f>IF(COUNTIFS(Engagements!B:B,A31,Engagements!F:F,"Ongoing")&gt;0,"BUSY",IF(COUNTIFS(Engagements!B:B,A31,Engagements!F:F,"Scheduled")&gt;0,"UPCOMING","FREE"))</f>
        <v>BUSY</v>
      </c>
    </row>
    <row r="32" spans="1:8">
      <c r="A32" t="s">
        <v>64</v>
      </c>
      <c r="B32" t="s">
        <v>65</v>
      </c>
      <c r="C32" t="s">
        <v>13</v>
      </c>
      <c r="D32" t="s">
        <v>8</v>
      </c>
      <c r="E32">
        <v>10</v>
      </c>
      <c r="F32">
        <v>5</v>
      </c>
      <c r="H32" s="3" t="str">
        <f>IF(COUNTIFS(Engagements!B:B,A32,Engagements!F:F,"Ongoing")&gt;0,"BUSY",IF(COUNTIFS(Engagements!B:B,A32,Engagements!F:F,"Scheduled")&gt;0,"UPCOMING","FREE"))</f>
        <v>BUSY</v>
      </c>
    </row>
    <row r="33" spans="1:8">
      <c r="A33" t="s">
        <v>66</v>
      </c>
      <c r="B33" t="s">
        <v>67</v>
      </c>
      <c r="C33" t="s">
        <v>9</v>
      </c>
      <c r="D33" t="s">
        <v>12</v>
      </c>
      <c r="E33">
        <v>10</v>
      </c>
      <c r="F33">
        <v>5</v>
      </c>
      <c r="H33" s="3" t="str">
        <f>IF(COUNTIFS(Engagements!B:B,A33,Engagements!F:F,"Ongoing")&gt;0,"BUSY",IF(COUNTIFS(Engagements!B:B,A33,Engagements!F:F,"Scheduled")&gt;0,"UPCOMING","FREE"))</f>
        <v>BUSY</v>
      </c>
    </row>
    <row r="34" spans="1:8">
      <c r="A34" t="s">
        <v>68</v>
      </c>
      <c r="B34" t="s">
        <v>39</v>
      </c>
      <c r="C34" t="s">
        <v>8</v>
      </c>
      <c r="D34" t="s">
        <v>16</v>
      </c>
      <c r="E34">
        <v>10</v>
      </c>
      <c r="F34">
        <v>4.9000000000000004</v>
      </c>
      <c r="H34" s="3" t="str">
        <f>IF(COUNTIFS(Engagements!B:B,A34,Engagements!F:F,"Ongoing")&gt;0,"BUSY",IF(COUNTIFS(Engagements!B:B,A34,Engagements!F:F,"Scheduled")&gt;0,"UPCOMING","FREE"))</f>
        <v>BUSY</v>
      </c>
    </row>
    <row r="35" spans="1:8">
      <c r="A35" t="s">
        <v>69</v>
      </c>
      <c r="B35" t="s">
        <v>70</v>
      </c>
      <c r="C35" t="s">
        <v>9</v>
      </c>
      <c r="D35" t="s">
        <v>12</v>
      </c>
      <c r="E35">
        <v>13</v>
      </c>
      <c r="F35">
        <v>4.9000000000000004</v>
      </c>
      <c r="H35" s="2" t="str">
        <f>IF(COUNTIFS(Engagements!B:B,A35,Engagements!F:F,"Ongoing")&gt;0,"BUSY",IF(COUNTIFS(Engagements!B:B,A35,Engagements!F:F,"Scheduled")&gt;0,"UPCOMING","FREE"))</f>
        <v>UPCOMING</v>
      </c>
    </row>
    <row r="36" spans="1:8">
      <c r="A36" t="s">
        <v>71</v>
      </c>
      <c r="B36" t="s">
        <v>72</v>
      </c>
      <c r="C36" t="s">
        <v>9</v>
      </c>
      <c r="D36" t="s">
        <v>8</v>
      </c>
      <c r="E36">
        <v>3</v>
      </c>
      <c r="F36">
        <v>4.7</v>
      </c>
      <c r="H36" s="3" t="str">
        <f>IF(COUNTIFS(Engagements!B:B,A36,Engagements!F:F,"Ongoing")&gt;0,"BUSY",IF(COUNTIFS(Engagements!B:B,A36,Engagements!F:F,"Scheduled")&gt;0,"UPCOMING","FREE"))</f>
        <v>BUSY</v>
      </c>
    </row>
    <row r="37" spans="1:8">
      <c r="A37" t="s">
        <v>73</v>
      </c>
      <c r="B37" t="s">
        <v>39</v>
      </c>
      <c r="C37" t="s">
        <v>16</v>
      </c>
      <c r="D37" t="s">
        <v>16</v>
      </c>
      <c r="E37">
        <v>8</v>
      </c>
      <c r="F37">
        <v>4.5</v>
      </c>
      <c r="H37" s="3" t="str">
        <f>IF(COUNTIFS(Engagements!B:B,A37,Engagements!F:F,"Ongoing")&gt;0,"BUSY",IF(COUNTIFS(Engagements!B:B,A37,Engagements!F:F,"Scheduled")&gt;0,"UPCOMING","FREE"))</f>
        <v>BUSY</v>
      </c>
    </row>
    <row r="38" spans="1:8">
      <c r="A38" t="s">
        <v>74</v>
      </c>
      <c r="B38" t="s">
        <v>75</v>
      </c>
      <c r="C38" t="s">
        <v>16</v>
      </c>
      <c r="D38" t="s">
        <v>12</v>
      </c>
      <c r="E38">
        <v>11</v>
      </c>
      <c r="F38">
        <v>5</v>
      </c>
      <c r="H38" s="3" t="str">
        <f>IF(COUNTIFS(Engagements!B:B,A38,Engagements!F:F,"Ongoing")&gt;0,"BUSY",IF(COUNTIFS(Engagements!B:B,A38,Engagements!F:F,"Scheduled")&gt;0,"UPCOMING","FREE"))</f>
        <v>BUSY</v>
      </c>
    </row>
    <row r="39" spans="1:8">
      <c r="A39" t="s">
        <v>76</v>
      </c>
      <c r="B39" t="s">
        <v>77</v>
      </c>
      <c r="C39" t="s">
        <v>13</v>
      </c>
      <c r="D39" t="s">
        <v>8</v>
      </c>
      <c r="E39">
        <v>4</v>
      </c>
      <c r="F39">
        <v>4.5</v>
      </c>
      <c r="H39" s="3" t="str">
        <f>IF(COUNTIFS(Engagements!B:B,A39,Engagements!F:F,"Ongoing")&gt;0,"BUSY",IF(COUNTIFS(Engagements!B:B,A39,Engagements!F:F,"Scheduled")&gt;0,"UPCOMING","FREE"))</f>
        <v>BUSY</v>
      </c>
    </row>
    <row r="40" spans="1:8">
      <c r="A40" t="s">
        <v>78</v>
      </c>
      <c r="B40" t="s">
        <v>24</v>
      </c>
      <c r="C40" t="s">
        <v>8</v>
      </c>
      <c r="D40" t="s">
        <v>16</v>
      </c>
      <c r="E40">
        <v>9</v>
      </c>
      <c r="F40">
        <v>4.3</v>
      </c>
      <c r="H40" s="3" t="str">
        <f>IF(COUNTIFS(Engagements!B:B,A40,Engagements!F:F,"Ongoing")&gt;0,"BUSY",IF(COUNTIFS(Engagements!B:B,A40,Engagements!F:F,"Scheduled")&gt;0,"UPCOMING","FREE"))</f>
        <v>BUSY</v>
      </c>
    </row>
    <row r="41" spans="1:8">
      <c r="A41" t="s">
        <v>79</v>
      </c>
      <c r="B41" t="s">
        <v>80</v>
      </c>
      <c r="C41" t="s">
        <v>13</v>
      </c>
      <c r="D41" t="s">
        <v>8</v>
      </c>
      <c r="E41">
        <v>9</v>
      </c>
      <c r="F41">
        <v>4.9000000000000004</v>
      </c>
      <c r="H41" s="3" t="str">
        <f>IF(COUNTIFS(Engagements!B:B,A41,Engagements!F:F,"Ongoing")&gt;0,"BUSY",IF(COUNTIFS(Engagements!B:B,A41,Engagements!F:F,"Scheduled")&gt;0,"UPCOMING","FREE"))</f>
        <v>BUSY</v>
      </c>
    </row>
  </sheetData>
  <autoFilter ref="A1:H41" xr:uid="{00000000-0001-0000-0000-000000000000}"/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</xdr:row>
                    <xdr:rowOff>15240</xdr:rowOff>
                  </from>
                  <to>
                    <xdr:col>6</xdr:col>
                    <xdr:colOff>655320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</xdr:row>
                    <xdr:rowOff>15240</xdr:rowOff>
                  </from>
                  <to>
                    <xdr:col>6</xdr:col>
                    <xdr:colOff>655320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</xdr:row>
                    <xdr:rowOff>15240</xdr:rowOff>
                  </from>
                  <to>
                    <xdr:col>6</xdr:col>
                    <xdr:colOff>655320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4</xdr:row>
                    <xdr:rowOff>15240</xdr:rowOff>
                  </from>
                  <to>
                    <xdr:col>6</xdr:col>
                    <xdr:colOff>655320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5</xdr:row>
                    <xdr:rowOff>15240</xdr:rowOff>
                  </from>
                  <to>
                    <xdr:col>6</xdr:col>
                    <xdr:colOff>655320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Button 6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6</xdr:row>
                    <xdr:rowOff>15240</xdr:rowOff>
                  </from>
                  <to>
                    <xdr:col>6</xdr:col>
                    <xdr:colOff>655320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Button 7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7</xdr:row>
                    <xdr:rowOff>15240</xdr:rowOff>
                  </from>
                  <to>
                    <xdr:col>6</xdr:col>
                    <xdr:colOff>655320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Button 8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8</xdr:row>
                    <xdr:rowOff>15240</xdr:rowOff>
                  </from>
                  <to>
                    <xdr:col>6</xdr:col>
                    <xdr:colOff>655320</xdr:colOff>
                    <xdr:row>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Button 9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9</xdr:row>
                    <xdr:rowOff>15240</xdr:rowOff>
                  </from>
                  <to>
                    <xdr:col>6</xdr:col>
                    <xdr:colOff>655320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Button 10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10</xdr:row>
                    <xdr:rowOff>15240</xdr:rowOff>
                  </from>
                  <to>
                    <xdr:col>6</xdr:col>
                    <xdr:colOff>655320</xdr:colOff>
                    <xdr:row>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Button 11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11</xdr:row>
                    <xdr:rowOff>15240</xdr:rowOff>
                  </from>
                  <to>
                    <xdr:col>6</xdr:col>
                    <xdr:colOff>655320</xdr:colOff>
                    <xdr:row>11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Button 12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12</xdr:row>
                    <xdr:rowOff>15240</xdr:rowOff>
                  </from>
                  <to>
                    <xdr:col>6</xdr:col>
                    <xdr:colOff>655320</xdr:colOff>
                    <xdr:row>12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Button 13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13</xdr:row>
                    <xdr:rowOff>15240</xdr:rowOff>
                  </from>
                  <to>
                    <xdr:col>6</xdr:col>
                    <xdr:colOff>655320</xdr:colOff>
                    <xdr:row>13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Button 14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14</xdr:row>
                    <xdr:rowOff>15240</xdr:rowOff>
                  </from>
                  <to>
                    <xdr:col>6</xdr:col>
                    <xdr:colOff>655320</xdr:colOff>
                    <xdr:row>14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Button 15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15</xdr:row>
                    <xdr:rowOff>15240</xdr:rowOff>
                  </from>
                  <to>
                    <xdr:col>6</xdr:col>
                    <xdr:colOff>655320</xdr:colOff>
                    <xdr:row>15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Button 16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16</xdr:row>
                    <xdr:rowOff>15240</xdr:rowOff>
                  </from>
                  <to>
                    <xdr:col>6</xdr:col>
                    <xdr:colOff>655320</xdr:colOff>
                    <xdr:row>16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Button 17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17</xdr:row>
                    <xdr:rowOff>15240</xdr:rowOff>
                  </from>
                  <to>
                    <xdr:col>6</xdr:col>
                    <xdr:colOff>655320</xdr:colOff>
                    <xdr:row>17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Button 18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18</xdr:row>
                    <xdr:rowOff>15240</xdr:rowOff>
                  </from>
                  <to>
                    <xdr:col>6</xdr:col>
                    <xdr:colOff>655320</xdr:colOff>
                    <xdr:row>18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Button 19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19</xdr:row>
                    <xdr:rowOff>15240</xdr:rowOff>
                  </from>
                  <to>
                    <xdr:col>6</xdr:col>
                    <xdr:colOff>655320</xdr:colOff>
                    <xdr:row>19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Button 20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20</xdr:row>
                    <xdr:rowOff>15240</xdr:rowOff>
                  </from>
                  <to>
                    <xdr:col>6</xdr:col>
                    <xdr:colOff>655320</xdr:colOff>
                    <xdr:row>20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Button 21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21</xdr:row>
                    <xdr:rowOff>15240</xdr:rowOff>
                  </from>
                  <to>
                    <xdr:col>6</xdr:col>
                    <xdr:colOff>655320</xdr:colOff>
                    <xdr:row>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Button 22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22</xdr:row>
                    <xdr:rowOff>15240</xdr:rowOff>
                  </from>
                  <to>
                    <xdr:col>6</xdr:col>
                    <xdr:colOff>655320</xdr:colOff>
                    <xdr:row>22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Button 23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23</xdr:row>
                    <xdr:rowOff>15240</xdr:rowOff>
                  </from>
                  <to>
                    <xdr:col>6</xdr:col>
                    <xdr:colOff>655320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Button 24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24</xdr:row>
                    <xdr:rowOff>15240</xdr:rowOff>
                  </from>
                  <to>
                    <xdr:col>6</xdr:col>
                    <xdr:colOff>655320</xdr:colOff>
                    <xdr:row>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Button 25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25</xdr:row>
                    <xdr:rowOff>15240</xdr:rowOff>
                  </from>
                  <to>
                    <xdr:col>6</xdr:col>
                    <xdr:colOff>655320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Button 26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26</xdr:row>
                    <xdr:rowOff>15240</xdr:rowOff>
                  </from>
                  <to>
                    <xdr:col>6</xdr:col>
                    <xdr:colOff>655320</xdr:colOff>
                    <xdr:row>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Button 27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27</xdr:row>
                    <xdr:rowOff>15240</xdr:rowOff>
                  </from>
                  <to>
                    <xdr:col>6</xdr:col>
                    <xdr:colOff>655320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Button 28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28</xdr:row>
                    <xdr:rowOff>15240</xdr:rowOff>
                  </from>
                  <to>
                    <xdr:col>6</xdr:col>
                    <xdr:colOff>655320</xdr:colOff>
                    <xdr:row>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Button 29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29</xdr:row>
                    <xdr:rowOff>15240</xdr:rowOff>
                  </from>
                  <to>
                    <xdr:col>6</xdr:col>
                    <xdr:colOff>655320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Button 30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30</xdr:row>
                    <xdr:rowOff>15240</xdr:rowOff>
                  </from>
                  <to>
                    <xdr:col>6</xdr:col>
                    <xdr:colOff>655320</xdr:colOff>
                    <xdr:row>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Button 31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31</xdr:row>
                    <xdr:rowOff>15240</xdr:rowOff>
                  </from>
                  <to>
                    <xdr:col>6</xdr:col>
                    <xdr:colOff>655320</xdr:colOff>
                    <xdr:row>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Button 32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32</xdr:row>
                    <xdr:rowOff>15240</xdr:rowOff>
                  </from>
                  <to>
                    <xdr:col>6</xdr:col>
                    <xdr:colOff>655320</xdr:colOff>
                    <xdr:row>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Button 33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33</xdr:row>
                    <xdr:rowOff>15240</xdr:rowOff>
                  </from>
                  <to>
                    <xdr:col>6</xdr:col>
                    <xdr:colOff>655320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Button 34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34</xdr:row>
                    <xdr:rowOff>15240</xdr:rowOff>
                  </from>
                  <to>
                    <xdr:col>6</xdr:col>
                    <xdr:colOff>655320</xdr:colOff>
                    <xdr:row>34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Button 35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35</xdr:row>
                    <xdr:rowOff>15240</xdr:rowOff>
                  </from>
                  <to>
                    <xdr:col>6</xdr:col>
                    <xdr:colOff>655320</xdr:colOff>
                    <xdr:row>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Button 36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36</xdr:row>
                    <xdr:rowOff>15240</xdr:rowOff>
                  </from>
                  <to>
                    <xdr:col>6</xdr:col>
                    <xdr:colOff>655320</xdr:colOff>
                    <xdr:row>36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Button 37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37</xdr:row>
                    <xdr:rowOff>15240</xdr:rowOff>
                  </from>
                  <to>
                    <xdr:col>6</xdr:col>
                    <xdr:colOff>655320</xdr:colOff>
                    <xdr:row>37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Button 38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38</xdr:row>
                    <xdr:rowOff>15240</xdr:rowOff>
                  </from>
                  <to>
                    <xdr:col>6</xdr:col>
                    <xdr:colOff>655320</xdr:colOff>
                    <xdr:row>38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Button 39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39</xdr:row>
                    <xdr:rowOff>15240</xdr:rowOff>
                  </from>
                  <to>
                    <xdr:col>6</xdr:col>
                    <xdr:colOff>655320</xdr:colOff>
                    <xdr:row>39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Button 40">
              <controlPr defaultSize="0" print="0" autoFill="0" autoPict="0" macro="[0]!ShowTrainerCalendar">
                <anchor moveWithCells="1">
                  <from>
                    <xdr:col>6</xdr:col>
                    <xdr:colOff>137160</xdr:colOff>
                    <xdr:row>40</xdr:row>
                    <xdr:rowOff>15240</xdr:rowOff>
                  </from>
                  <to>
                    <xdr:col>6</xdr:col>
                    <xdr:colOff>655320</xdr:colOff>
                    <xdr:row>40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7"/>
  <sheetViews>
    <sheetView workbookViewId="0">
      <selection activeCell="F29" sqref="F29"/>
    </sheetView>
  </sheetViews>
  <sheetFormatPr defaultRowHeight="14.4"/>
  <cols>
    <col min="1" max="1" width="8.6640625" customWidth="1"/>
    <col min="2" max="2" width="19.6640625" customWidth="1"/>
    <col min="3" max="3" width="10.5546875" customWidth="1"/>
    <col min="4" max="4" width="14.109375" customWidth="1"/>
    <col min="5" max="5" width="12.5546875" customWidth="1"/>
    <col min="6" max="6" width="14.6640625" customWidth="1"/>
    <col min="7" max="7" width="19.33203125" customWidth="1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88</v>
      </c>
      <c r="B2" t="s">
        <v>89</v>
      </c>
      <c r="C2" t="s">
        <v>90</v>
      </c>
      <c r="D2" t="s">
        <v>91</v>
      </c>
      <c r="E2" t="s">
        <v>33</v>
      </c>
      <c r="F2" t="s">
        <v>92</v>
      </c>
      <c r="G2" t="s">
        <v>93</v>
      </c>
    </row>
    <row r="3" spans="1:7">
      <c r="A3" t="s">
        <v>94</v>
      </c>
      <c r="B3" t="s">
        <v>95</v>
      </c>
      <c r="C3" t="s">
        <v>90</v>
      </c>
      <c r="D3" t="s">
        <v>96</v>
      </c>
      <c r="E3" t="s">
        <v>97</v>
      </c>
      <c r="F3" t="s">
        <v>98</v>
      </c>
      <c r="G3" t="s">
        <v>99</v>
      </c>
    </row>
    <row r="4" spans="1:7">
      <c r="A4" t="s">
        <v>100</v>
      </c>
      <c r="B4" t="s">
        <v>101</v>
      </c>
      <c r="C4" t="s">
        <v>90</v>
      </c>
      <c r="D4" t="s">
        <v>91</v>
      </c>
      <c r="E4" t="s">
        <v>102</v>
      </c>
      <c r="F4" t="s">
        <v>103</v>
      </c>
      <c r="G4" t="s">
        <v>104</v>
      </c>
    </row>
    <row r="5" spans="1:7">
      <c r="A5" t="s">
        <v>105</v>
      </c>
      <c r="B5" t="s">
        <v>106</v>
      </c>
      <c r="C5" t="s">
        <v>90</v>
      </c>
      <c r="D5" t="s">
        <v>96</v>
      </c>
      <c r="E5" t="s">
        <v>107</v>
      </c>
      <c r="F5" t="s">
        <v>108</v>
      </c>
      <c r="G5" t="s">
        <v>109</v>
      </c>
    </row>
    <row r="6" spans="1:7">
      <c r="A6" t="s">
        <v>110</v>
      </c>
      <c r="B6" t="s">
        <v>111</v>
      </c>
      <c r="C6" t="s">
        <v>90</v>
      </c>
      <c r="D6" t="s">
        <v>112</v>
      </c>
      <c r="E6" t="s">
        <v>33</v>
      </c>
      <c r="F6" t="s">
        <v>113</v>
      </c>
      <c r="G6" t="s">
        <v>93</v>
      </c>
    </row>
    <row r="7" spans="1:7">
      <c r="A7" t="s">
        <v>114</v>
      </c>
      <c r="B7" t="s">
        <v>115</v>
      </c>
      <c r="C7" t="s">
        <v>90</v>
      </c>
      <c r="D7" t="s">
        <v>96</v>
      </c>
      <c r="E7" t="s">
        <v>116</v>
      </c>
      <c r="F7" t="s">
        <v>117</v>
      </c>
      <c r="G7" t="s">
        <v>99</v>
      </c>
    </row>
    <row r="8" spans="1:7">
      <c r="A8" t="s">
        <v>118</v>
      </c>
      <c r="B8" t="s">
        <v>119</v>
      </c>
      <c r="C8" t="s">
        <v>90</v>
      </c>
      <c r="D8" t="s">
        <v>120</v>
      </c>
      <c r="E8" t="s">
        <v>121</v>
      </c>
      <c r="F8" t="s">
        <v>122</v>
      </c>
      <c r="G8" t="s">
        <v>123</v>
      </c>
    </row>
    <row r="9" spans="1:7">
      <c r="A9" t="s">
        <v>124</v>
      </c>
      <c r="B9" t="s">
        <v>125</v>
      </c>
      <c r="C9" t="s">
        <v>90</v>
      </c>
      <c r="D9" t="s">
        <v>126</v>
      </c>
      <c r="E9" t="s">
        <v>67</v>
      </c>
      <c r="F9" t="s">
        <v>127</v>
      </c>
      <c r="G9" t="s">
        <v>128</v>
      </c>
    </row>
    <row r="10" spans="1:7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</row>
    <row r="11" spans="1:7">
      <c r="A11" t="s">
        <v>136</v>
      </c>
      <c r="B11" t="s">
        <v>137</v>
      </c>
      <c r="C11" t="s">
        <v>131</v>
      </c>
      <c r="D11" t="s">
        <v>138</v>
      </c>
      <c r="E11" t="s">
        <v>139</v>
      </c>
      <c r="F11" t="s">
        <v>140</v>
      </c>
      <c r="G11" t="s">
        <v>128</v>
      </c>
    </row>
    <row r="12" spans="1:7">
      <c r="A12" t="s">
        <v>141</v>
      </c>
      <c r="B12" t="s">
        <v>142</v>
      </c>
      <c r="C12" t="s">
        <v>131</v>
      </c>
      <c r="D12" t="s">
        <v>132</v>
      </c>
      <c r="E12" t="s">
        <v>65</v>
      </c>
      <c r="F12" t="s">
        <v>143</v>
      </c>
      <c r="G12" t="s">
        <v>104</v>
      </c>
    </row>
    <row r="13" spans="1:7">
      <c r="A13" t="s">
        <v>144</v>
      </c>
      <c r="B13" t="s">
        <v>145</v>
      </c>
      <c r="C13" t="s">
        <v>131</v>
      </c>
      <c r="D13" t="s">
        <v>146</v>
      </c>
      <c r="E13" t="s">
        <v>39</v>
      </c>
      <c r="F13" t="s">
        <v>147</v>
      </c>
      <c r="G13" t="s">
        <v>104</v>
      </c>
    </row>
    <row r="14" spans="1:7">
      <c r="A14" t="s">
        <v>148</v>
      </c>
      <c r="B14" t="s">
        <v>149</v>
      </c>
      <c r="C14" t="s">
        <v>131</v>
      </c>
      <c r="D14" t="s">
        <v>91</v>
      </c>
      <c r="E14" t="s">
        <v>80</v>
      </c>
      <c r="F14" t="s">
        <v>150</v>
      </c>
      <c r="G14" t="s">
        <v>123</v>
      </c>
    </row>
    <row r="15" spans="1:7">
      <c r="A15" t="s">
        <v>151</v>
      </c>
      <c r="B15" t="s">
        <v>152</v>
      </c>
      <c r="C15" t="s">
        <v>131</v>
      </c>
      <c r="D15" t="s">
        <v>153</v>
      </c>
      <c r="E15" t="s">
        <v>15</v>
      </c>
      <c r="F15" t="s">
        <v>154</v>
      </c>
      <c r="G15" t="s">
        <v>93</v>
      </c>
    </row>
    <row r="16" spans="1:7">
      <c r="A16" t="s">
        <v>155</v>
      </c>
      <c r="B16" t="s">
        <v>156</v>
      </c>
      <c r="C16" t="s">
        <v>131</v>
      </c>
      <c r="D16" t="s">
        <v>157</v>
      </c>
      <c r="E16" t="s">
        <v>158</v>
      </c>
      <c r="F16" t="s">
        <v>159</v>
      </c>
      <c r="G16" t="s">
        <v>160</v>
      </c>
    </row>
    <row r="17" spans="1:7">
      <c r="A17" t="s">
        <v>161</v>
      </c>
      <c r="B17" t="s">
        <v>162</v>
      </c>
      <c r="C17" t="s">
        <v>131</v>
      </c>
      <c r="D17" t="s">
        <v>157</v>
      </c>
      <c r="E17" t="s">
        <v>63</v>
      </c>
      <c r="F17" t="s">
        <v>163</v>
      </c>
      <c r="G17" t="s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01"/>
  <sheetViews>
    <sheetView workbookViewId="0">
      <selection activeCell="H27" sqref="H27"/>
    </sheetView>
  </sheetViews>
  <sheetFormatPr defaultRowHeight="14.4"/>
  <cols>
    <col min="2" max="2" width="10" customWidth="1"/>
    <col min="3" max="3" width="10.77734375" customWidth="1"/>
    <col min="4" max="4" width="12.21875" customWidth="1"/>
    <col min="5" max="5" width="12.6640625" customWidth="1"/>
    <col min="6" max="6" width="13.33203125" customWidth="1"/>
  </cols>
  <sheetData>
    <row r="1" spans="1:6">
      <c r="A1" t="s">
        <v>164</v>
      </c>
      <c r="B1" t="s">
        <v>0</v>
      </c>
      <c r="C1" t="s">
        <v>81</v>
      </c>
      <c r="D1" t="s">
        <v>165</v>
      </c>
      <c r="E1" t="s">
        <v>166</v>
      </c>
      <c r="F1" t="s">
        <v>167</v>
      </c>
    </row>
    <row r="2" spans="1:6">
      <c r="A2" t="s">
        <v>168</v>
      </c>
      <c r="B2" t="s">
        <v>54</v>
      </c>
      <c r="C2" t="s">
        <v>118</v>
      </c>
      <c r="D2" s="1">
        <v>46318</v>
      </c>
      <c r="E2" s="1">
        <v>46321</v>
      </c>
      <c r="F2" t="s">
        <v>169</v>
      </c>
    </row>
    <row r="3" spans="1:6">
      <c r="A3" t="s">
        <v>170</v>
      </c>
      <c r="B3" t="s">
        <v>19</v>
      </c>
      <c r="C3" t="s">
        <v>88</v>
      </c>
      <c r="D3" s="1">
        <v>46204</v>
      </c>
      <c r="E3" s="1">
        <v>46205</v>
      </c>
      <c r="F3" t="s">
        <v>169</v>
      </c>
    </row>
    <row r="4" spans="1:6">
      <c r="A4" t="s">
        <v>171</v>
      </c>
      <c r="B4" t="s">
        <v>66</v>
      </c>
      <c r="C4" t="s">
        <v>155</v>
      </c>
      <c r="D4" s="1">
        <v>46042</v>
      </c>
      <c r="E4" s="1">
        <v>46044</v>
      </c>
      <c r="F4" t="s">
        <v>169</v>
      </c>
    </row>
    <row r="5" spans="1:6">
      <c r="A5" t="s">
        <v>172</v>
      </c>
      <c r="B5" t="s">
        <v>59</v>
      </c>
      <c r="C5" t="s">
        <v>94</v>
      </c>
      <c r="D5" s="1">
        <v>46073</v>
      </c>
      <c r="E5" s="1">
        <v>46078</v>
      </c>
      <c r="F5" t="s">
        <v>169</v>
      </c>
    </row>
    <row r="6" spans="1:6">
      <c r="A6" t="s">
        <v>173</v>
      </c>
      <c r="B6" t="s">
        <v>25</v>
      </c>
      <c r="C6" t="s">
        <v>114</v>
      </c>
      <c r="D6" s="1">
        <v>46093</v>
      </c>
      <c r="E6" s="1">
        <v>46095</v>
      </c>
      <c r="F6" t="s">
        <v>174</v>
      </c>
    </row>
    <row r="7" spans="1:6">
      <c r="A7" t="s">
        <v>175</v>
      </c>
      <c r="B7" t="s">
        <v>19</v>
      </c>
      <c r="C7" t="s">
        <v>151</v>
      </c>
      <c r="D7" s="1">
        <v>46195</v>
      </c>
      <c r="E7" s="1">
        <v>46196</v>
      </c>
      <c r="F7" t="s">
        <v>176</v>
      </c>
    </row>
    <row r="8" spans="1:6">
      <c r="A8" t="s">
        <v>177</v>
      </c>
      <c r="B8" t="s">
        <v>66</v>
      </c>
      <c r="C8" t="s">
        <v>88</v>
      </c>
      <c r="D8" s="1">
        <v>46041</v>
      </c>
      <c r="E8" s="1">
        <v>46042</v>
      </c>
      <c r="F8" t="s">
        <v>176</v>
      </c>
    </row>
    <row r="9" spans="1:6">
      <c r="A9" t="s">
        <v>178</v>
      </c>
      <c r="B9" t="s">
        <v>64</v>
      </c>
      <c r="C9" t="s">
        <v>161</v>
      </c>
      <c r="D9" s="1">
        <v>46122</v>
      </c>
      <c r="E9" s="1">
        <v>46123</v>
      </c>
      <c r="F9" t="s">
        <v>169</v>
      </c>
    </row>
    <row r="10" spans="1:6">
      <c r="A10" t="s">
        <v>179</v>
      </c>
      <c r="B10" t="s">
        <v>43</v>
      </c>
      <c r="C10" t="s">
        <v>148</v>
      </c>
      <c r="D10" s="1">
        <v>46146</v>
      </c>
      <c r="E10" s="1">
        <v>46150</v>
      </c>
      <c r="F10" t="s">
        <v>174</v>
      </c>
    </row>
    <row r="11" spans="1:6">
      <c r="A11" t="s">
        <v>180</v>
      </c>
      <c r="B11" t="s">
        <v>66</v>
      </c>
      <c r="C11" t="s">
        <v>129</v>
      </c>
      <c r="D11" s="1">
        <v>46349</v>
      </c>
      <c r="E11" s="1">
        <v>46351</v>
      </c>
      <c r="F11" t="s">
        <v>169</v>
      </c>
    </row>
    <row r="12" spans="1:6">
      <c r="A12" t="s">
        <v>181</v>
      </c>
      <c r="B12" t="s">
        <v>43</v>
      </c>
      <c r="C12" t="s">
        <v>94</v>
      </c>
      <c r="D12" s="1">
        <v>46286</v>
      </c>
      <c r="E12" s="1">
        <v>46287</v>
      </c>
      <c r="F12" t="s">
        <v>176</v>
      </c>
    </row>
    <row r="13" spans="1:6">
      <c r="A13" t="s">
        <v>182</v>
      </c>
      <c r="B13" t="s">
        <v>30</v>
      </c>
      <c r="C13" t="s">
        <v>161</v>
      </c>
      <c r="D13" s="1">
        <v>46110</v>
      </c>
      <c r="E13" s="1">
        <v>46115</v>
      </c>
      <c r="F13" t="s">
        <v>174</v>
      </c>
    </row>
    <row r="14" spans="1:6">
      <c r="A14" t="s">
        <v>183</v>
      </c>
      <c r="B14" t="s">
        <v>71</v>
      </c>
      <c r="C14" t="s">
        <v>100</v>
      </c>
      <c r="D14" s="1">
        <v>46290</v>
      </c>
      <c r="E14" s="1">
        <v>46295</v>
      </c>
      <c r="F14" t="s">
        <v>174</v>
      </c>
    </row>
    <row r="15" spans="1:6">
      <c r="A15" t="s">
        <v>184</v>
      </c>
      <c r="B15" t="s">
        <v>23</v>
      </c>
      <c r="C15" t="s">
        <v>161</v>
      </c>
      <c r="D15" s="1">
        <v>46351</v>
      </c>
      <c r="E15" s="1">
        <v>46354</v>
      </c>
      <c r="F15" t="s">
        <v>176</v>
      </c>
    </row>
    <row r="16" spans="1:6">
      <c r="A16" t="s">
        <v>185</v>
      </c>
      <c r="B16" t="s">
        <v>43</v>
      </c>
      <c r="C16" t="s">
        <v>141</v>
      </c>
      <c r="D16" s="1">
        <v>46216</v>
      </c>
      <c r="E16" s="1">
        <v>46217</v>
      </c>
      <c r="F16" t="s">
        <v>176</v>
      </c>
    </row>
    <row r="17" spans="1:6">
      <c r="A17" t="s">
        <v>186</v>
      </c>
      <c r="B17" t="s">
        <v>25</v>
      </c>
      <c r="C17" t="s">
        <v>94</v>
      </c>
      <c r="D17" s="1">
        <v>46128</v>
      </c>
      <c r="E17" s="1">
        <v>46130</v>
      </c>
      <c r="F17" t="s">
        <v>176</v>
      </c>
    </row>
    <row r="18" spans="1:6">
      <c r="A18" t="s">
        <v>187</v>
      </c>
      <c r="B18" t="s">
        <v>54</v>
      </c>
      <c r="C18" t="s">
        <v>155</v>
      </c>
      <c r="D18" s="1">
        <v>46117</v>
      </c>
      <c r="E18" s="1">
        <v>46119</v>
      </c>
      <c r="F18" t="s">
        <v>176</v>
      </c>
    </row>
    <row r="19" spans="1:6">
      <c r="A19" t="s">
        <v>188</v>
      </c>
      <c r="B19" t="s">
        <v>74</v>
      </c>
      <c r="C19" t="s">
        <v>105</v>
      </c>
      <c r="D19" s="1">
        <v>46304</v>
      </c>
      <c r="E19" s="1">
        <v>46305</v>
      </c>
      <c r="F19" t="s">
        <v>176</v>
      </c>
    </row>
    <row r="20" spans="1:6">
      <c r="A20" t="s">
        <v>189</v>
      </c>
      <c r="B20" t="s">
        <v>23</v>
      </c>
      <c r="C20" t="s">
        <v>114</v>
      </c>
      <c r="D20" s="1">
        <v>46254</v>
      </c>
      <c r="E20" s="1">
        <v>46258</v>
      </c>
      <c r="F20" t="s">
        <v>169</v>
      </c>
    </row>
    <row r="21" spans="1:6">
      <c r="A21" t="s">
        <v>190</v>
      </c>
      <c r="B21" t="s">
        <v>68</v>
      </c>
      <c r="C21" t="s">
        <v>148</v>
      </c>
      <c r="D21" s="1">
        <v>46262</v>
      </c>
      <c r="E21" s="1">
        <v>46263</v>
      </c>
      <c r="F21" t="s">
        <v>176</v>
      </c>
    </row>
    <row r="22" spans="1:6">
      <c r="A22" t="s">
        <v>191</v>
      </c>
      <c r="B22" t="s">
        <v>66</v>
      </c>
      <c r="C22" t="s">
        <v>155</v>
      </c>
      <c r="D22" s="1">
        <v>46232</v>
      </c>
      <c r="E22" s="1">
        <v>46233</v>
      </c>
      <c r="F22" t="s">
        <v>176</v>
      </c>
    </row>
    <row r="23" spans="1:6">
      <c r="A23" t="s">
        <v>192</v>
      </c>
      <c r="B23" t="s">
        <v>69</v>
      </c>
      <c r="C23" t="s">
        <v>148</v>
      </c>
      <c r="D23" s="1">
        <v>46202</v>
      </c>
      <c r="E23" s="1">
        <v>46204</v>
      </c>
      <c r="F23" t="s">
        <v>169</v>
      </c>
    </row>
    <row r="24" spans="1:6">
      <c r="A24" t="s">
        <v>193</v>
      </c>
      <c r="B24" t="s">
        <v>30</v>
      </c>
      <c r="C24" t="s">
        <v>136</v>
      </c>
      <c r="D24" s="1">
        <v>46306</v>
      </c>
      <c r="E24" s="1">
        <v>46307</v>
      </c>
      <c r="F24" t="s">
        <v>174</v>
      </c>
    </row>
    <row r="25" spans="1:6">
      <c r="A25" t="s">
        <v>194</v>
      </c>
      <c r="B25" t="s">
        <v>53</v>
      </c>
      <c r="C25" t="s">
        <v>151</v>
      </c>
      <c r="D25" s="1">
        <v>46195</v>
      </c>
      <c r="E25" s="1">
        <v>46200</v>
      </c>
      <c r="F25" t="s">
        <v>169</v>
      </c>
    </row>
    <row r="26" spans="1:6">
      <c r="A26" t="s">
        <v>195</v>
      </c>
      <c r="B26" t="s">
        <v>74</v>
      </c>
      <c r="C26" t="s">
        <v>88</v>
      </c>
      <c r="D26" s="1">
        <v>46025</v>
      </c>
      <c r="E26" s="1">
        <v>46030</v>
      </c>
      <c r="F26" t="s">
        <v>174</v>
      </c>
    </row>
    <row r="27" spans="1:6">
      <c r="A27" t="s">
        <v>196</v>
      </c>
      <c r="B27" t="s">
        <v>43</v>
      </c>
      <c r="C27" t="s">
        <v>136</v>
      </c>
      <c r="D27" s="1">
        <v>46299</v>
      </c>
      <c r="E27" s="1">
        <v>46303</v>
      </c>
      <c r="F27" t="s">
        <v>176</v>
      </c>
    </row>
    <row r="28" spans="1:6">
      <c r="A28" t="s">
        <v>197</v>
      </c>
      <c r="B28" t="s">
        <v>64</v>
      </c>
      <c r="C28" t="s">
        <v>114</v>
      </c>
      <c r="D28" s="1">
        <v>46062</v>
      </c>
      <c r="E28" s="1">
        <v>46064</v>
      </c>
      <c r="F28" t="s">
        <v>174</v>
      </c>
    </row>
    <row r="29" spans="1:6">
      <c r="A29" t="s">
        <v>198</v>
      </c>
      <c r="B29" t="s">
        <v>74</v>
      </c>
      <c r="C29" t="s">
        <v>151</v>
      </c>
      <c r="D29" s="1">
        <v>46036</v>
      </c>
      <c r="E29" s="1">
        <v>46037</v>
      </c>
      <c r="F29" t="s">
        <v>176</v>
      </c>
    </row>
    <row r="30" spans="1:6">
      <c r="A30" t="s">
        <v>199</v>
      </c>
      <c r="B30" t="s">
        <v>36</v>
      </c>
      <c r="C30" t="s">
        <v>144</v>
      </c>
      <c r="D30" s="1">
        <v>46166</v>
      </c>
      <c r="E30" s="1">
        <v>46167</v>
      </c>
      <c r="F30" t="s">
        <v>174</v>
      </c>
    </row>
    <row r="31" spans="1:6">
      <c r="A31" t="s">
        <v>200</v>
      </c>
      <c r="B31" t="s">
        <v>19</v>
      </c>
      <c r="C31" t="s">
        <v>94</v>
      </c>
      <c r="D31" s="1">
        <v>46219</v>
      </c>
      <c r="E31" s="1">
        <v>46223</v>
      </c>
      <c r="F31" t="s">
        <v>176</v>
      </c>
    </row>
    <row r="32" spans="1:6">
      <c r="A32" t="s">
        <v>201</v>
      </c>
      <c r="B32" t="s">
        <v>73</v>
      </c>
      <c r="C32" t="s">
        <v>118</v>
      </c>
      <c r="D32" s="1">
        <v>46343</v>
      </c>
      <c r="E32" s="1">
        <v>46346</v>
      </c>
      <c r="F32" t="s">
        <v>174</v>
      </c>
    </row>
    <row r="33" spans="1:6">
      <c r="A33" t="s">
        <v>202</v>
      </c>
      <c r="B33" t="s">
        <v>61</v>
      </c>
      <c r="C33" t="s">
        <v>118</v>
      </c>
      <c r="D33" s="1">
        <v>46195</v>
      </c>
      <c r="E33" s="1">
        <v>46198</v>
      </c>
      <c r="F33" t="s">
        <v>176</v>
      </c>
    </row>
    <row r="34" spans="1:6">
      <c r="A34" t="s">
        <v>203</v>
      </c>
      <c r="B34" t="s">
        <v>51</v>
      </c>
      <c r="C34" t="s">
        <v>94</v>
      </c>
      <c r="D34" s="1">
        <v>46121</v>
      </c>
      <c r="E34" s="1">
        <v>46122</v>
      </c>
      <c r="F34" t="s">
        <v>169</v>
      </c>
    </row>
    <row r="35" spans="1:6">
      <c r="A35" t="s">
        <v>204</v>
      </c>
      <c r="B35" t="s">
        <v>73</v>
      </c>
      <c r="C35" t="s">
        <v>114</v>
      </c>
      <c r="D35" s="1">
        <v>46270</v>
      </c>
      <c r="E35" s="1">
        <v>46272</v>
      </c>
      <c r="F35" t="s">
        <v>169</v>
      </c>
    </row>
    <row r="36" spans="1:6">
      <c r="A36" t="s">
        <v>205</v>
      </c>
      <c r="B36" t="s">
        <v>17</v>
      </c>
      <c r="C36" t="s">
        <v>94</v>
      </c>
      <c r="D36" s="1">
        <v>46294</v>
      </c>
      <c r="E36" s="1">
        <v>46295</v>
      </c>
      <c r="F36" t="s">
        <v>169</v>
      </c>
    </row>
    <row r="37" spans="1:6">
      <c r="A37" t="s">
        <v>206</v>
      </c>
      <c r="B37" t="s">
        <v>71</v>
      </c>
      <c r="C37" t="s">
        <v>155</v>
      </c>
      <c r="D37" s="1">
        <v>46336</v>
      </c>
      <c r="E37" s="1">
        <v>46339</v>
      </c>
      <c r="F37" t="s">
        <v>169</v>
      </c>
    </row>
    <row r="38" spans="1:6">
      <c r="A38" t="s">
        <v>207</v>
      </c>
      <c r="B38" t="s">
        <v>41</v>
      </c>
      <c r="C38" t="s">
        <v>124</v>
      </c>
      <c r="D38" s="1">
        <v>46336</v>
      </c>
      <c r="E38" s="1">
        <v>46338</v>
      </c>
      <c r="F38" t="s">
        <v>169</v>
      </c>
    </row>
    <row r="39" spans="1:6">
      <c r="A39" t="s">
        <v>208</v>
      </c>
      <c r="B39" t="s">
        <v>64</v>
      </c>
      <c r="C39" t="s">
        <v>141</v>
      </c>
      <c r="D39" s="1">
        <v>46183</v>
      </c>
      <c r="E39" s="1">
        <v>46188</v>
      </c>
      <c r="F39" t="s">
        <v>169</v>
      </c>
    </row>
    <row r="40" spans="1:6">
      <c r="A40" t="s">
        <v>209</v>
      </c>
      <c r="B40" t="s">
        <v>74</v>
      </c>
      <c r="C40" t="s">
        <v>151</v>
      </c>
      <c r="D40" s="1">
        <v>46089</v>
      </c>
      <c r="E40" s="1">
        <v>46090</v>
      </c>
      <c r="F40" t="s">
        <v>169</v>
      </c>
    </row>
    <row r="41" spans="1:6">
      <c r="A41" t="s">
        <v>210</v>
      </c>
      <c r="B41" t="s">
        <v>53</v>
      </c>
      <c r="C41" t="s">
        <v>144</v>
      </c>
      <c r="D41" s="1">
        <v>46236</v>
      </c>
      <c r="E41" s="1">
        <v>46241</v>
      </c>
      <c r="F41" t="s">
        <v>169</v>
      </c>
    </row>
    <row r="42" spans="1:6">
      <c r="A42" t="s">
        <v>211</v>
      </c>
      <c r="B42" t="s">
        <v>57</v>
      </c>
      <c r="C42" t="s">
        <v>100</v>
      </c>
      <c r="D42" s="1">
        <v>46126</v>
      </c>
      <c r="E42" s="1">
        <v>46131</v>
      </c>
      <c r="F42" t="s">
        <v>174</v>
      </c>
    </row>
    <row r="43" spans="1:6">
      <c r="A43" t="s">
        <v>212</v>
      </c>
      <c r="B43" t="s">
        <v>76</v>
      </c>
      <c r="C43" t="s">
        <v>110</v>
      </c>
      <c r="D43" s="1">
        <v>46227</v>
      </c>
      <c r="E43" s="1">
        <v>46232</v>
      </c>
      <c r="F43" t="s">
        <v>174</v>
      </c>
    </row>
    <row r="44" spans="1:6">
      <c r="A44" t="s">
        <v>213</v>
      </c>
      <c r="B44" t="s">
        <v>79</v>
      </c>
      <c r="C44" t="s">
        <v>110</v>
      </c>
      <c r="D44" s="1">
        <v>46119</v>
      </c>
      <c r="E44" s="1">
        <v>46121</v>
      </c>
      <c r="F44" t="s">
        <v>176</v>
      </c>
    </row>
    <row r="45" spans="1:6">
      <c r="A45" t="s">
        <v>214</v>
      </c>
      <c r="B45" t="s">
        <v>36</v>
      </c>
      <c r="C45" t="s">
        <v>141</v>
      </c>
      <c r="D45" s="1">
        <v>46296</v>
      </c>
      <c r="E45" s="1">
        <v>46300</v>
      </c>
      <c r="F45" t="s">
        <v>176</v>
      </c>
    </row>
    <row r="46" spans="1:6">
      <c r="A46" t="s">
        <v>215</v>
      </c>
      <c r="B46" t="s">
        <v>40</v>
      </c>
      <c r="C46" t="s">
        <v>118</v>
      </c>
      <c r="D46" s="1">
        <v>46350</v>
      </c>
      <c r="E46" s="1">
        <v>46351</v>
      </c>
      <c r="F46" t="s">
        <v>174</v>
      </c>
    </row>
    <row r="47" spans="1:6">
      <c r="A47" t="s">
        <v>216</v>
      </c>
      <c r="B47" t="s">
        <v>21</v>
      </c>
      <c r="C47" t="s">
        <v>118</v>
      </c>
      <c r="D47" s="1">
        <v>46085</v>
      </c>
      <c r="E47" s="1">
        <v>46089</v>
      </c>
      <c r="F47" t="s">
        <v>176</v>
      </c>
    </row>
    <row r="48" spans="1:6">
      <c r="A48" t="s">
        <v>217</v>
      </c>
      <c r="B48" t="s">
        <v>23</v>
      </c>
      <c r="C48" t="s">
        <v>136</v>
      </c>
      <c r="D48" s="1">
        <v>46185</v>
      </c>
      <c r="E48" s="1">
        <v>46190</v>
      </c>
      <c r="F48" t="s">
        <v>176</v>
      </c>
    </row>
    <row r="49" spans="1:6">
      <c r="A49" t="s">
        <v>218</v>
      </c>
      <c r="B49" t="s">
        <v>62</v>
      </c>
      <c r="C49" t="s">
        <v>141</v>
      </c>
      <c r="D49" s="1">
        <v>46230</v>
      </c>
      <c r="E49" s="1">
        <v>46232</v>
      </c>
      <c r="F49" t="s">
        <v>169</v>
      </c>
    </row>
    <row r="50" spans="1:6">
      <c r="A50" t="s">
        <v>219</v>
      </c>
      <c r="B50" t="s">
        <v>69</v>
      </c>
      <c r="C50" t="s">
        <v>110</v>
      </c>
      <c r="D50" s="1">
        <v>46059</v>
      </c>
      <c r="E50" s="1">
        <v>46063</v>
      </c>
      <c r="F50" t="s">
        <v>176</v>
      </c>
    </row>
    <row r="51" spans="1:6">
      <c r="A51" t="s">
        <v>220</v>
      </c>
      <c r="B51" t="s">
        <v>58</v>
      </c>
      <c r="C51" t="s">
        <v>144</v>
      </c>
      <c r="D51" s="1">
        <v>46117</v>
      </c>
      <c r="E51" s="1">
        <v>46120</v>
      </c>
      <c r="F51" t="s">
        <v>169</v>
      </c>
    </row>
    <row r="52" spans="1:6">
      <c r="A52" t="s">
        <v>221</v>
      </c>
      <c r="B52" t="s">
        <v>79</v>
      </c>
      <c r="C52" t="s">
        <v>118</v>
      </c>
      <c r="D52" s="1">
        <v>46198</v>
      </c>
      <c r="E52" s="1">
        <v>46200</v>
      </c>
      <c r="F52" t="s">
        <v>176</v>
      </c>
    </row>
    <row r="53" spans="1:6">
      <c r="A53" t="s">
        <v>222</v>
      </c>
      <c r="B53" t="s">
        <v>53</v>
      </c>
      <c r="C53" t="s">
        <v>94</v>
      </c>
      <c r="D53" s="1">
        <v>46278</v>
      </c>
      <c r="E53" s="1">
        <v>46280</v>
      </c>
      <c r="F53" t="s">
        <v>174</v>
      </c>
    </row>
    <row r="54" spans="1:6">
      <c r="A54" t="s">
        <v>223</v>
      </c>
      <c r="B54" t="s">
        <v>49</v>
      </c>
      <c r="C54" t="s">
        <v>100</v>
      </c>
      <c r="D54" s="1">
        <v>46025</v>
      </c>
      <c r="E54" s="1">
        <v>46026</v>
      </c>
      <c r="F54" t="s">
        <v>169</v>
      </c>
    </row>
    <row r="55" spans="1:6">
      <c r="A55" t="s">
        <v>224</v>
      </c>
      <c r="B55" t="s">
        <v>19</v>
      </c>
      <c r="C55" t="s">
        <v>141</v>
      </c>
      <c r="D55" s="1">
        <v>46210</v>
      </c>
      <c r="E55" s="1">
        <v>46214</v>
      </c>
      <c r="F55" t="s">
        <v>174</v>
      </c>
    </row>
    <row r="56" spans="1:6">
      <c r="A56" t="s">
        <v>225</v>
      </c>
      <c r="B56" t="s">
        <v>43</v>
      </c>
      <c r="C56" t="s">
        <v>129</v>
      </c>
      <c r="D56" s="1">
        <v>46159</v>
      </c>
      <c r="E56" s="1">
        <v>46163</v>
      </c>
      <c r="F56" t="s">
        <v>174</v>
      </c>
    </row>
    <row r="57" spans="1:6">
      <c r="A57" t="s">
        <v>226</v>
      </c>
      <c r="B57" t="s">
        <v>79</v>
      </c>
      <c r="C57" t="s">
        <v>124</v>
      </c>
      <c r="D57" s="1">
        <v>46168</v>
      </c>
      <c r="E57" s="1">
        <v>46173</v>
      </c>
      <c r="F57" t="s">
        <v>176</v>
      </c>
    </row>
    <row r="58" spans="1:6">
      <c r="A58" t="s">
        <v>227</v>
      </c>
      <c r="B58" t="s">
        <v>61</v>
      </c>
      <c r="C58" t="s">
        <v>105</v>
      </c>
      <c r="D58" s="1">
        <v>46339</v>
      </c>
      <c r="E58" s="1">
        <v>46342</v>
      </c>
      <c r="F58" t="s">
        <v>174</v>
      </c>
    </row>
    <row r="59" spans="1:6">
      <c r="A59" t="s">
        <v>228</v>
      </c>
      <c r="B59" t="s">
        <v>68</v>
      </c>
      <c r="C59" t="s">
        <v>124</v>
      </c>
      <c r="D59" s="1">
        <v>46052</v>
      </c>
      <c r="E59" s="1">
        <v>46053</v>
      </c>
      <c r="F59" t="s">
        <v>176</v>
      </c>
    </row>
    <row r="60" spans="1:6">
      <c r="A60" t="s">
        <v>229</v>
      </c>
      <c r="B60" t="s">
        <v>58</v>
      </c>
      <c r="C60" t="s">
        <v>118</v>
      </c>
      <c r="D60" s="1">
        <v>46253</v>
      </c>
      <c r="E60" s="1">
        <v>46254</v>
      </c>
      <c r="F60" t="s">
        <v>169</v>
      </c>
    </row>
    <row r="61" spans="1:6">
      <c r="A61" t="s">
        <v>230</v>
      </c>
      <c r="B61" t="s">
        <v>49</v>
      </c>
      <c r="C61" t="s">
        <v>129</v>
      </c>
      <c r="D61" s="1">
        <v>46199</v>
      </c>
      <c r="E61" s="1">
        <v>46200</v>
      </c>
      <c r="F61" t="s">
        <v>176</v>
      </c>
    </row>
    <row r="62" spans="1:6">
      <c r="A62" t="s">
        <v>231</v>
      </c>
      <c r="B62" t="s">
        <v>36</v>
      </c>
      <c r="C62" t="s">
        <v>151</v>
      </c>
      <c r="D62" s="1">
        <v>46079</v>
      </c>
      <c r="E62" s="1">
        <v>46082</v>
      </c>
      <c r="F62" t="s">
        <v>174</v>
      </c>
    </row>
    <row r="63" spans="1:6">
      <c r="A63" t="s">
        <v>232</v>
      </c>
      <c r="B63" t="s">
        <v>36</v>
      </c>
      <c r="C63" t="s">
        <v>124</v>
      </c>
      <c r="D63" s="1">
        <v>46231</v>
      </c>
      <c r="E63" s="1">
        <v>46235</v>
      </c>
      <c r="F63" t="s">
        <v>169</v>
      </c>
    </row>
    <row r="64" spans="1:6">
      <c r="A64" t="s">
        <v>233</v>
      </c>
      <c r="B64" t="s">
        <v>57</v>
      </c>
      <c r="C64" t="s">
        <v>148</v>
      </c>
      <c r="D64" s="1">
        <v>46246</v>
      </c>
      <c r="E64" s="1">
        <v>46247</v>
      </c>
      <c r="F64" t="s">
        <v>169</v>
      </c>
    </row>
    <row r="65" spans="1:6">
      <c r="A65" t="s">
        <v>234</v>
      </c>
      <c r="B65" t="s">
        <v>27</v>
      </c>
      <c r="C65" t="s">
        <v>141</v>
      </c>
      <c r="D65" s="1">
        <v>46101</v>
      </c>
      <c r="E65" s="1">
        <v>46104</v>
      </c>
      <c r="F65" t="s">
        <v>169</v>
      </c>
    </row>
    <row r="66" spans="1:6">
      <c r="A66" t="s">
        <v>235</v>
      </c>
      <c r="B66" t="s">
        <v>53</v>
      </c>
      <c r="C66" t="s">
        <v>88</v>
      </c>
      <c r="D66" s="1">
        <v>46231</v>
      </c>
      <c r="E66" s="1">
        <v>46236</v>
      </c>
      <c r="F66" t="s">
        <v>169</v>
      </c>
    </row>
    <row r="67" spans="1:6">
      <c r="A67" t="s">
        <v>236</v>
      </c>
      <c r="B67" t="s">
        <v>78</v>
      </c>
      <c r="C67" t="s">
        <v>100</v>
      </c>
      <c r="D67" s="1">
        <v>46242</v>
      </c>
      <c r="E67" s="1">
        <v>46243</v>
      </c>
      <c r="F67" t="s">
        <v>169</v>
      </c>
    </row>
    <row r="68" spans="1:6">
      <c r="A68" t="s">
        <v>237</v>
      </c>
      <c r="B68" t="s">
        <v>30</v>
      </c>
      <c r="C68" t="s">
        <v>114</v>
      </c>
      <c r="D68" s="1">
        <v>46037</v>
      </c>
      <c r="E68" s="1">
        <v>46040</v>
      </c>
      <c r="F68" t="s">
        <v>174</v>
      </c>
    </row>
    <row r="69" spans="1:6">
      <c r="A69" t="s">
        <v>238</v>
      </c>
      <c r="B69" t="s">
        <v>69</v>
      </c>
      <c r="C69" t="s">
        <v>105</v>
      </c>
      <c r="D69" s="1">
        <v>46097</v>
      </c>
      <c r="E69" s="1">
        <v>46102</v>
      </c>
      <c r="F69" t="s">
        <v>169</v>
      </c>
    </row>
    <row r="70" spans="1:6">
      <c r="A70" t="s">
        <v>239</v>
      </c>
      <c r="B70" t="s">
        <v>51</v>
      </c>
      <c r="C70" t="s">
        <v>88</v>
      </c>
      <c r="D70" s="1">
        <v>46167</v>
      </c>
      <c r="E70" s="1">
        <v>46169</v>
      </c>
      <c r="F70" t="s">
        <v>176</v>
      </c>
    </row>
    <row r="71" spans="1:6">
      <c r="A71" t="s">
        <v>240</v>
      </c>
      <c r="B71" t="s">
        <v>66</v>
      </c>
      <c r="C71" t="s">
        <v>114</v>
      </c>
      <c r="D71" s="1">
        <v>46101</v>
      </c>
      <c r="E71" s="1">
        <v>46105</v>
      </c>
      <c r="F71" t="s">
        <v>174</v>
      </c>
    </row>
    <row r="72" spans="1:6">
      <c r="A72" t="s">
        <v>241</v>
      </c>
      <c r="B72" t="s">
        <v>27</v>
      </c>
      <c r="C72" t="s">
        <v>155</v>
      </c>
      <c r="D72" s="1">
        <v>46038</v>
      </c>
      <c r="E72" s="1">
        <v>46039</v>
      </c>
      <c r="F72" t="s">
        <v>169</v>
      </c>
    </row>
    <row r="73" spans="1:6">
      <c r="A73" t="s">
        <v>242</v>
      </c>
      <c r="B73" t="s">
        <v>74</v>
      </c>
      <c r="C73" t="s">
        <v>100</v>
      </c>
      <c r="D73" s="1">
        <v>46023</v>
      </c>
      <c r="E73" s="1">
        <v>46028</v>
      </c>
      <c r="F73" t="s">
        <v>169</v>
      </c>
    </row>
    <row r="74" spans="1:6">
      <c r="A74" t="s">
        <v>243</v>
      </c>
      <c r="B74" t="s">
        <v>19</v>
      </c>
      <c r="C74" t="s">
        <v>141</v>
      </c>
      <c r="D74" s="1">
        <v>46204</v>
      </c>
      <c r="E74" s="1">
        <v>46209</v>
      </c>
      <c r="F74" t="s">
        <v>174</v>
      </c>
    </row>
    <row r="75" spans="1:6">
      <c r="A75" t="s">
        <v>244</v>
      </c>
      <c r="B75" t="s">
        <v>78</v>
      </c>
      <c r="C75" t="s">
        <v>136</v>
      </c>
      <c r="D75" s="1">
        <v>46124</v>
      </c>
      <c r="E75" s="1">
        <v>46125</v>
      </c>
      <c r="F75" t="s">
        <v>174</v>
      </c>
    </row>
    <row r="76" spans="1:6">
      <c r="A76" t="s">
        <v>245</v>
      </c>
      <c r="B76" t="s">
        <v>64</v>
      </c>
      <c r="C76" t="s">
        <v>141</v>
      </c>
      <c r="D76" s="1">
        <v>46275</v>
      </c>
      <c r="E76" s="1">
        <v>46277</v>
      </c>
      <c r="F76" t="s">
        <v>169</v>
      </c>
    </row>
    <row r="77" spans="1:6">
      <c r="A77" t="s">
        <v>246</v>
      </c>
      <c r="B77" t="s">
        <v>55</v>
      </c>
      <c r="C77" t="s">
        <v>151</v>
      </c>
      <c r="D77" s="1">
        <v>46341</v>
      </c>
      <c r="E77" s="1">
        <v>46342</v>
      </c>
      <c r="F77" t="s">
        <v>174</v>
      </c>
    </row>
    <row r="78" spans="1:6">
      <c r="A78" t="s">
        <v>247</v>
      </c>
      <c r="B78" t="s">
        <v>19</v>
      </c>
      <c r="C78" t="s">
        <v>161</v>
      </c>
      <c r="D78" s="1">
        <v>46033</v>
      </c>
      <c r="E78" s="1">
        <v>46037</v>
      </c>
      <c r="F78" t="s">
        <v>169</v>
      </c>
    </row>
    <row r="79" spans="1:6">
      <c r="A79" t="s">
        <v>248</v>
      </c>
      <c r="B79" t="s">
        <v>45</v>
      </c>
      <c r="C79" t="s">
        <v>148</v>
      </c>
      <c r="D79" s="1">
        <v>46033</v>
      </c>
      <c r="E79" s="1">
        <v>46038</v>
      </c>
      <c r="F79" t="s">
        <v>176</v>
      </c>
    </row>
    <row r="80" spans="1:6">
      <c r="A80" t="s">
        <v>249</v>
      </c>
      <c r="B80" t="s">
        <v>23</v>
      </c>
      <c r="C80" t="s">
        <v>144</v>
      </c>
      <c r="D80" s="1">
        <v>46256</v>
      </c>
      <c r="E80" s="1">
        <v>46257</v>
      </c>
      <c r="F80" t="s">
        <v>174</v>
      </c>
    </row>
    <row r="81" spans="1:6">
      <c r="A81" t="s">
        <v>250</v>
      </c>
      <c r="B81" t="s">
        <v>49</v>
      </c>
      <c r="C81" t="s">
        <v>105</v>
      </c>
      <c r="D81" s="1">
        <v>46112</v>
      </c>
      <c r="E81" s="1">
        <v>46115</v>
      </c>
      <c r="F81" t="s">
        <v>169</v>
      </c>
    </row>
    <row r="82" spans="1:6">
      <c r="A82" t="s">
        <v>251</v>
      </c>
      <c r="B82" t="s">
        <v>51</v>
      </c>
      <c r="C82" t="s">
        <v>94</v>
      </c>
      <c r="D82" s="1">
        <v>46078</v>
      </c>
      <c r="E82" s="1">
        <v>46082</v>
      </c>
      <c r="F82" t="s">
        <v>174</v>
      </c>
    </row>
    <row r="83" spans="1:6">
      <c r="A83" t="s">
        <v>252</v>
      </c>
      <c r="B83" t="s">
        <v>66</v>
      </c>
      <c r="C83" t="s">
        <v>110</v>
      </c>
      <c r="D83" s="1">
        <v>46094</v>
      </c>
      <c r="E83" s="1">
        <v>46095</v>
      </c>
      <c r="F83" t="s">
        <v>176</v>
      </c>
    </row>
    <row r="84" spans="1:6">
      <c r="A84" t="s">
        <v>253</v>
      </c>
      <c r="B84" t="s">
        <v>74</v>
      </c>
      <c r="C84" t="s">
        <v>161</v>
      </c>
      <c r="D84" s="1">
        <v>46316</v>
      </c>
      <c r="E84" s="1">
        <v>46320</v>
      </c>
      <c r="F84" t="s">
        <v>169</v>
      </c>
    </row>
    <row r="85" spans="1:6">
      <c r="A85" t="s">
        <v>254</v>
      </c>
      <c r="B85" t="s">
        <v>14</v>
      </c>
      <c r="C85" t="s">
        <v>105</v>
      </c>
      <c r="D85" s="1">
        <v>46229</v>
      </c>
      <c r="E85" s="1">
        <v>46231</v>
      </c>
      <c r="F85" t="s">
        <v>174</v>
      </c>
    </row>
    <row r="86" spans="1:6">
      <c r="A86" t="s">
        <v>255</v>
      </c>
      <c r="B86" t="s">
        <v>41</v>
      </c>
      <c r="C86" t="s">
        <v>141</v>
      </c>
      <c r="D86" s="1">
        <v>46071</v>
      </c>
      <c r="E86" s="1">
        <v>46073</v>
      </c>
      <c r="F86" t="s">
        <v>174</v>
      </c>
    </row>
    <row r="87" spans="1:6">
      <c r="A87" t="s">
        <v>256</v>
      </c>
      <c r="B87" t="s">
        <v>79</v>
      </c>
      <c r="C87" t="s">
        <v>88</v>
      </c>
      <c r="D87" s="1">
        <v>46070</v>
      </c>
      <c r="E87" s="1">
        <v>46073</v>
      </c>
      <c r="F87" t="s">
        <v>174</v>
      </c>
    </row>
    <row r="88" spans="1:6">
      <c r="A88" t="s">
        <v>257</v>
      </c>
      <c r="B88" t="s">
        <v>73</v>
      </c>
      <c r="C88" t="s">
        <v>148</v>
      </c>
      <c r="D88" s="1">
        <v>46321</v>
      </c>
      <c r="E88" s="1">
        <v>46322</v>
      </c>
      <c r="F88" t="s">
        <v>174</v>
      </c>
    </row>
    <row r="89" spans="1:6">
      <c r="A89" t="s">
        <v>258</v>
      </c>
      <c r="B89" t="s">
        <v>55</v>
      </c>
      <c r="C89" t="s">
        <v>110</v>
      </c>
      <c r="D89" s="1">
        <v>46138</v>
      </c>
      <c r="E89" s="1">
        <v>46141</v>
      </c>
      <c r="F89" t="s">
        <v>169</v>
      </c>
    </row>
    <row r="90" spans="1:6">
      <c r="A90" t="s">
        <v>259</v>
      </c>
      <c r="B90" t="s">
        <v>30</v>
      </c>
      <c r="C90" t="s">
        <v>161</v>
      </c>
      <c r="D90" s="1">
        <v>46071</v>
      </c>
      <c r="E90" s="1">
        <v>46073</v>
      </c>
      <c r="F90" t="s">
        <v>176</v>
      </c>
    </row>
    <row r="91" spans="1:6">
      <c r="A91" t="s">
        <v>260</v>
      </c>
      <c r="B91" t="s">
        <v>62</v>
      </c>
      <c r="C91" t="s">
        <v>141</v>
      </c>
      <c r="D91" s="1">
        <v>46229</v>
      </c>
      <c r="E91" s="1">
        <v>46234</v>
      </c>
      <c r="F91" t="s">
        <v>169</v>
      </c>
    </row>
    <row r="92" spans="1:6">
      <c r="A92" t="s">
        <v>261</v>
      </c>
      <c r="B92" t="s">
        <v>69</v>
      </c>
      <c r="C92" t="s">
        <v>94</v>
      </c>
      <c r="D92" s="1">
        <v>46298</v>
      </c>
      <c r="E92" s="1">
        <v>46302</v>
      </c>
      <c r="F92" t="s">
        <v>176</v>
      </c>
    </row>
    <row r="93" spans="1:6">
      <c r="A93" t="s">
        <v>262</v>
      </c>
      <c r="B93" t="s">
        <v>49</v>
      </c>
      <c r="C93" t="s">
        <v>100</v>
      </c>
      <c r="D93" s="1">
        <v>46226</v>
      </c>
      <c r="E93" s="1">
        <v>46230</v>
      </c>
      <c r="F93" t="s">
        <v>169</v>
      </c>
    </row>
    <row r="94" spans="1:6">
      <c r="A94" t="s">
        <v>263</v>
      </c>
      <c r="B94" t="s">
        <v>57</v>
      </c>
      <c r="C94" t="s">
        <v>105</v>
      </c>
      <c r="D94" s="1">
        <v>46174</v>
      </c>
      <c r="E94" s="1">
        <v>46175</v>
      </c>
      <c r="F94" t="s">
        <v>174</v>
      </c>
    </row>
    <row r="95" spans="1:6">
      <c r="A95" t="s">
        <v>264</v>
      </c>
      <c r="B95" t="s">
        <v>68</v>
      </c>
      <c r="C95" t="s">
        <v>148</v>
      </c>
      <c r="D95" s="1">
        <v>46040</v>
      </c>
      <c r="E95" s="1">
        <v>46041</v>
      </c>
      <c r="F95" t="s">
        <v>174</v>
      </c>
    </row>
    <row r="96" spans="1:6">
      <c r="A96" t="s">
        <v>265</v>
      </c>
      <c r="B96" t="s">
        <v>43</v>
      </c>
      <c r="C96" t="s">
        <v>155</v>
      </c>
      <c r="D96" s="1">
        <v>46353</v>
      </c>
      <c r="E96" s="1">
        <v>46355</v>
      </c>
      <c r="F96" t="s">
        <v>174</v>
      </c>
    </row>
    <row r="97" spans="1:6">
      <c r="A97" t="s">
        <v>266</v>
      </c>
      <c r="B97" t="s">
        <v>30</v>
      </c>
      <c r="C97" t="s">
        <v>105</v>
      </c>
      <c r="D97" s="1">
        <v>46099</v>
      </c>
      <c r="E97" s="1">
        <v>46103</v>
      </c>
      <c r="F97" t="s">
        <v>169</v>
      </c>
    </row>
    <row r="98" spans="1:6">
      <c r="A98" t="s">
        <v>267</v>
      </c>
      <c r="B98" t="s">
        <v>62</v>
      </c>
      <c r="C98" t="s">
        <v>141</v>
      </c>
      <c r="D98" s="1">
        <v>46104</v>
      </c>
      <c r="E98" s="1">
        <v>46106</v>
      </c>
      <c r="F98" t="s">
        <v>176</v>
      </c>
    </row>
    <row r="99" spans="1:6">
      <c r="A99" t="s">
        <v>268</v>
      </c>
      <c r="B99" t="s">
        <v>43</v>
      </c>
      <c r="C99" t="s">
        <v>155</v>
      </c>
      <c r="D99" s="1">
        <v>46086</v>
      </c>
      <c r="E99" s="1">
        <v>46087</v>
      </c>
      <c r="F99" t="s">
        <v>169</v>
      </c>
    </row>
    <row r="100" spans="1:6">
      <c r="A100" t="s">
        <v>269</v>
      </c>
      <c r="B100" t="s">
        <v>51</v>
      </c>
      <c r="C100" t="s">
        <v>100</v>
      </c>
      <c r="D100" s="1">
        <v>46339</v>
      </c>
      <c r="E100" s="1">
        <v>46340</v>
      </c>
      <c r="F100" t="s">
        <v>169</v>
      </c>
    </row>
    <row r="101" spans="1:6">
      <c r="A101" t="s">
        <v>270</v>
      </c>
      <c r="B101" t="s">
        <v>25</v>
      </c>
      <c r="C101" t="s">
        <v>114</v>
      </c>
      <c r="D101" s="1">
        <v>46227</v>
      </c>
      <c r="E101" s="1">
        <v>46229</v>
      </c>
      <c r="F101" t="s">
        <v>176</v>
      </c>
    </row>
    <row r="102" spans="1:6">
      <c r="A102" t="s">
        <v>271</v>
      </c>
      <c r="B102" t="s">
        <v>57</v>
      </c>
      <c r="C102" t="s">
        <v>94</v>
      </c>
      <c r="D102" s="1">
        <v>46283</v>
      </c>
      <c r="E102" s="1">
        <v>46284</v>
      </c>
      <c r="F102" t="s">
        <v>174</v>
      </c>
    </row>
    <row r="103" spans="1:6">
      <c r="A103" t="s">
        <v>272</v>
      </c>
      <c r="B103" t="s">
        <v>51</v>
      </c>
      <c r="C103" t="s">
        <v>141</v>
      </c>
      <c r="D103" s="1">
        <v>46351</v>
      </c>
      <c r="E103" s="1">
        <v>46354</v>
      </c>
      <c r="F103" t="s">
        <v>176</v>
      </c>
    </row>
    <row r="104" spans="1:6">
      <c r="A104" t="s">
        <v>273</v>
      </c>
      <c r="B104" t="s">
        <v>30</v>
      </c>
      <c r="C104" t="s">
        <v>141</v>
      </c>
      <c r="D104" s="1">
        <v>46132</v>
      </c>
      <c r="E104" s="1">
        <v>46134</v>
      </c>
      <c r="F104" t="s">
        <v>169</v>
      </c>
    </row>
    <row r="105" spans="1:6">
      <c r="A105" t="s">
        <v>274</v>
      </c>
      <c r="B105" t="s">
        <v>57</v>
      </c>
      <c r="C105" t="s">
        <v>151</v>
      </c>
      <c r="D105" s="1">
        <v>46340</v>
      </c>
      <c r="E105" s="1">
        <v>46343</v>
      </c>
      <c r="F105" t="s">
        <v>176</v>
      </c>
    </row>
    <row r="106" spans="1:6">
      <c r="A106" t="s">
        <v>275</v>
      </c>
      <c r="B106" t="s">
        <v>53</v>
      </c>
      <c r="C106" t="s">
        <v>136</v>
      </c>
      <c r="D106" s="1">
        <v>46120</v>
      </c>
      <c r="E106" s="1">
        <v>46123</v>
      </c>
      <c r="F106" t="s">
        <v>174</v>
      </c>
    </row>
    <row r="107" spans="1:6">
      <c r="A107" t="s">
        <v>276</v>
      </c>
      <c r="B107" t="s">
        <v>71</v>
      </c>
      <c r="C107" t="s">
        <v>129</v>
      </c>
      <c r="D107" s="1">
        <v>46151</v>
      </c>
      <c r="E107" s="1">
        <v>46155</v>
      </c>
      <c r="F107" t="s">
        <v>174</v>
      </c>
    </row>
    <row r="108" spans="1:6">
      <c r="A108" t="s">
        <v>277</v>
      </c>
      <c r="B108" t="s">
        <v>53</v>
      </c>
      <c r="C108" t="s">
        <v>151</v>
      </c>
      <c r="D108" s="1">
        <v>46184</v>
      </c>
      <c r="E108" s="1">
        <v>46189</v>
      </c>
      <c r="F108" t="s">
        <v>174</v>
      </c>
    </row>
    <row r="109" spans="1:6">
      <c r="A109" t="s">
        <v>278</v>
      </c>
      <c r="B109" t="s">
        <v>47</v>
      </c>
      <c r="C109" t="s">
        <v>110</v>
      </c>
      <c r="D109" s="1">
        <v>46133</v>
      </c>
      <c r="E109" s="1">
        <v>46136</v>
      </c>
      <c r="F109" t="s">
        <v>176</v>
      </c>
    </row>
    <row r="110" spans="1:6">
      <c r="A110" t="s">
        <v>279</v>
      </c>
      <c r="B110" t="s">
        <v>23</v>
      </c>
      <c r="C110" t="s">
        <v>144</v>
      </c>
      <c r="D110" s="1">
        <v>46348</v>
      </c>
      <c r="E110" s="1">
        <v>46353</v>
      </c>
      <c r="F110" t="s">
        <v>169</v>
      </c>
    </row>
    <row r="111" spans="1:6">
      <c r="A111" t="s">
        <v>280</v>
      </c>
      <c r="B111" t="s">
        <v>58</v>
      </c>
      <c r="C111" t="s">
        <v>141</v>
      </c>
      <c r="D111" s="1">
        <v>46048</v>
      </c>
      <c r="E111" s="1">
        <v>46053</v>
      </c>
      <c r="F111" t="s">
        <v>174</v>
      </c>
    </row>
    <row r="112" spans="1:6">
      <c r="A112" t="s">
        <v>281</v>
      </c>
      <c r="B112" t="s">
        <v>55</v>
      </c>
      <c r="C112" t="s">
        <v>144</v>
      </c>
      <c r="D112" s="1">
        <v>46337</v>
      </c>
      <c r="E112" s="1">
        <v>46342</v>
      </c>
      <c r="F112" t="s">
        <v>169</v>
      </c>
    </row>
    <row r="113" spans="1:6">
      <c r="A113" t="s">
        <v>282</v>
      </c>
      <c r="B113" t="s">
        <v>53</v>
      </c>
      <c r="C113" t="s">
        <v>100</v>
      </c>
      <c r="D113" s="1">
        <v>46098</v>
      </c>
      <c r="E113" s="1">
        <v>46103</v>
      </c>
      <c r="F113" t="s">
        <v>174</v>
      </c>
    </row>
    <row r="114" spans="1:6">
      <c r="A114" t="s">
        <v>283</v>
      </c>
      <c r="B114" t="s">
        <v>78</v>
      </c>
      <c r="C114" t="s">
        <v>118</v>
      </c>
      <c r="D114" s="1">
        <v>46192</v>
      </c>
      <c r="E114" s="1">
        <v>46197</v>
      </c>
      <c r="F114" t="s">
        <v>174</v>
      </c>
    </row>
    <row r="115" spans="1:6">
      <c r="A115" t="s">
        <v>284</v>
      </c>
      <c r="B115" t="s">
        <v>69</v>
      </c>
      <c r="C115" t="s">
        <v>148</v>
      </c>
      <c r="D115" s="1">
        <v>46349</v>
      </c>
      <c r="E115" s="1">
        <v>46350</v>
      </c>
      <c r="F115" t="s">
        <v>176</v>
      </c>
    </row>
    <row r="116" spans="1:6">
      <c r="A116" t="s">
        <v>285</v>
      </c>
      <c r="B116" t="s">
        <v>73</v>
      </c>
      <c r="C116" t="s">
        <v>105</v>
      </c>
      <c r="D116" s="1">
        <v>46182</v>
      </c>
      <c r="E116" s="1">
        <v>46183</v>
      </c>
      <c r="F116" t="s">
        <v>174</v>
      </c>
    </row>
    <row r="117" spans="1:6">
      <c r="A117" t="s">
        <v>286</v>
      </c>
      <c r="B117" t="s">
        <v>10</v>
      </c>
      <c r="C117" t="s">
        <v>105</v>
      </c>
      <c r="D117" s="1">
        <v>46263</v>
      </c>
      <c r="E117" s="1">
        <v>46266</v>
      </c>
      <c r="F117" t="s">
        <v>169</v>
      </c>
    </row>
    <row r="118" spans="1:6">
      <c r="A118" t="s">
        <v>287</v>
      </c>
      <c r="B118" t="s">
        <v>36</v>
      </c>
      <c r="C118" t="s">
        <v>88</v>
      </c>
      <c r="D118" s="1">
        <v>46155</v>
      </c>
      <c r="E118" s="1">
        <v>46160</v>
      </c>
      <c r="F118" t="s">
        <v>174</v>
      </c>
    </row>
    <row r="119" spans="1:6">
      <c r="A119" t="s">
        <v>288</v>
      </c>
      <c r="B119" t="s">
        <v>41</v>
      </c>
      <c r="C119" t="s">
        <v>118</v>
      </c>
      <c r="D119" s="1">
        <v>46246</v>
      </c>
      <c r="E119" s="1">
        <v>46251</v>
      </c>
      <c r="F119" t="s">
        <v>176</v>
      </c>
    </row>
    <row r="120" spans="1:6">
      <c r="A120" t="s">
        <v>289</v>
      </c>
      <c r="B120" t="s">
        <v>64</v>
      </c>
      <c r="C120" t="s">
        <v>114</v>
      </c>
      <c r="D120" s="1">
        <v>46142</v>
      </c>
      <c r="E120" s="1">
        <v>46144</v>
      </c>
      <c r="F120" t="s">
        <v>174</v>
      </c>
    </row>
    <row r="121" spans="1:6">
      <c r="A121" t="s">
        <v>290</v>
      </c>
      <c r="B121" t="s">
        <v>14</v>
      </c>
      <c r="C121" t="s">
        <v>148</v>
      </c>
      <c r="D121" s="1">
        <v>46124</v>
      </c>
      <c r="E121" s="1">
        <v>46128</v>
      </c>
      <c r="F121" t="s">
        <v>176</v>
      </c>
    </row>
    <row r="122" spans="1:6">
      <c r="A122" t="s">
        <v>291</v>
      </c>
      <c r="B122" t="s">
        <v>78</v>
      </c>
      <c r="C122" t="s">
        <v>151</v>
      </c>
      <c r="D122" s="1">
        <v>46225</v>
      </c>
      <c r="E122" s="1">
        <v>46228</v>
      </c>
      <c r="F122" t="s">
        <v>176</v>
      </c>
    </row>
    <row r="123" spans="1:6">
      <c r="A123" t="s">
        <v>292</v>
      </c>
      <c r="B123" t="s">
        <v>32</v>
      </c>
      <c r="C123" t="s">
        <v>105</v>
      </c>
      <c r="D123" s="1">
        <v>46301</v>
      </c>
      <c r="E123" s="1">
        <v>46304</v>
      </c>
      <c r="F123" t="s">
        <v>174</v>
      </c>
    </row>
    <row r="124" spans="1:6">
      <c r="A124" t="s">
        <v>293</v>
      </c>
      <c r="B124" t="s">
        <v>54</v>
      </c>
      <c r="C124" t="s">
        <v>114</v>
      </c>
      <c r="D124" s="1">
        <v>46181</v>
      </c>
      <c r="E124" s="1">
        <v>46186</v>
      </c>
      <c r="F124" t="s">
        <v>169</v>
      </c>
    </row>
    <row r="125" spans="1:6">
      <c r="A125" t="s">
        <v>294</v>
      </c>
      <c r="B125" t="s">
        <v>47</v>
      </c>
      <c r="C125" t="s">
        <v>100</v>
      </c>
      <c r="D125" s="1">
        <v>46251</v>
      </c>
      <c r="E125" s="1">
        <v>46254</v>
      </c>
      <c r="F125" t="s">
        <v>174</v>
      </c>
    </row>
    <row r="126" spans="1:6">
      <c r="A126" t="s">
        <v>295</v>
      </c>
      <c r="B126" t="s">
        <v>79</v>
      </c>
      <c r="C126" t="s">
        <v>136</v>
      </c>
      <c r="D126" s="1">
        <v>46026</v>
      </c>
      <c r="E126" s="1">
        <v>46027</v>
      </c>
      <c r="F126" t="s">
        <v>174</v>
      </c>
    </row>
    <row r="127" spans="1:6">
      <c r="A127" t="s">
        <v>296</v>
      </c>
      <c r="B127" t="s">
        <v>23</v>
      </c>
      <c r="C127" t="s">
        <v>161</v>
      </c>
      <c r="D127" s="1">
        <v>46025</v>
      </c>
      <c r="E127" s="1">
        <v>46029</v>
      </c>
      <c r="F127" t="s">
        <v>169</v>
      </c>
    </row>
    <row r="128" spans="1:6">
      <c r="A128" t="s">
        <v>297</v>
      </c>
      <c r="B128" t="s">
        <v>21</v>
      </c>
      <c r="C128" t="s">
        <v>161</v>
      </c>
      <c r="D128" s="1">
        <v>46028</v>
      </c>
      <c r="E128" s="1">
        <v>46030</v>
      </c>
      <c r="F128" t="s">
        <v>174</v>
      </c>
    </row>
    <row r="129" spans="1:6">
      <c r="A129" t="s">
        <v>298</v>
      </c>
      <c r="B129" t="s">
        <v>19</v>
      </c>
      <c r="C129" t="s">
        <v>114</v>
      </c>
      <c r="D129" s="1">
        <v>46124</v>
      </c>
      <c r="E129" s="1">
        <v>46126</v>
      </c>
      <c r="F129" t="s">
        <v>174</v>
      </c>
    </row>
    <row r="130" spans="1:6">
      <c r="A130" t="s">
        <v>299</v>
      </c>
      <c r="B130" t="s">
        <v>64</v>
      </c>
      <c r="C130" t="s">
        <v>151</v>
      </c>
      <c r="D130" s="1">
        <v>46339</v>
      </c>
      <c r="E130" s="1">
        <v>46340</v>
      </c>
      <c r="F130" t="s">
        <v>176</v>
      </c>
    </row>
    <row r="131" spans="1:6">
      <c r="A131" t="s">
        <v>300</v>
      </c>
      <c r="B131" t="s">
        <v>68</v>
      </c>
      <c r="C131" t="s">
        <v>94</v>
      </c>
      <c r="D131" s="1">
        <v>46203</v>
      </c>
      <c r="E131" s="1">
        <v>46208</v>
      </c>
      <c r="F131" t="s">
        <v>169</v>
      </c>
    </row>
    <row r="132" spans="1:6">
      <c r="A132" t="s">
        <v>301</v>
      </c>
      <c r="B132" t="s">
        <v>64</v>
      </c>
      <c r="C132" t="s">
        <v>151</v>
      </c>
      <c r="D132" s="1">
        <v>46338</v>
      </c>
      <c r="E132" s="1">
        <v>46341</v>
      </c>
      <c r="F132" t="s">
        <v>176</v>
      </c>
    </row>
    <row r="133" spans="1:6">
      <c r="A133" t="s">
        <v>302</v>
      </c>
      <c r="B133" t="s">
        <v>62</v>
      </c>
      <c r="C133" t="s">
        <v>124</v>
      </c>
      <c r="D133" s="1">
        <v>46086</v>
      </c>
      <c r="E133" s="1">
        <v>46088</v>
      </c>
      <c r="F133" t="s">
        <v>174</v>
      </c>
    </row>
    <row r="134" spans="1:6">
      <c r="A134" t="s">
        <v>303</v>
      </c>
      <c r="B134" t="s">
        <v>45</v>
      </c>
      <c r="C134" t="s">
        <v>88</v>
      </c>
      <c r="D134" s="1">
        <v>46263</v>
      </c>
      <c r="E134" s="1">
        <v>46267</v>
      </c>
      <c r="F134" t="s">
        <v>174</v>
      </c>
    </row>
    <row r="135" spans="1:6">
      <c r="A135" t="s">
        <v>304</v>
      </c>
      <c r="B135" t="s">
        <v>54</v>
      </c>
      <c r="C135" t="s">
        <v>105</v>
      </c>
      <c r="D135" s="1">
        <v>46082</v>
      </c>
      <c r="E135" s="1">
        <v>46083</v>
      </c>
      <c r="F135" t="s">
        <v>169</v>
      </c>
    </row>
    <row r="136" spans="1:6">
      <c r="A136" t="s">
        <v>305</v>
      </c>
      <c r="B136" t="s">
        <v>64</v>
      </c>
      <c r="C136" t="s">
        <v>124</v>
      </c>
      <c r="D136" s="1">
        <v>46343</v>
      </c>
      <c r="E136" s="1">
        <v>46348</v>
      </c>
      <c r="F136" t="s">
        <v>174</v>
      </c>
    </row>
    <row r="137" spans="1:6">
      <c r="A137" t="s">
        <v>306</v>
      </c>
      <c r="B137" t="s">
        <v>38</v>
      </c>
      <c r="C137" t="s">
        <v>124</v>
      </c>
      <c r="D137" s="1">
        <v>46120</v>
      </c>
      <c r="E137" s="1">
        <v>46123</v>
      </c>
      <c r="F137" t="s">
        <v>174</v>
      </c>
    </row>
    <row r="138" spans="1:6">
      <c r="A138" t="s">
        <v>307</v>
      </c>
      <c r="B138" t="s">
        <v>23</v>
      </c>
      <c r="C138" t="s">
        <v>94</v>
      </c>
      <c r="D138" s="1">
        <v>46291</v>
      </c>
      <c r="E138" s="1">
        <v>46295</v>
      </c>
      <c r="F138" t="s">
        <v>169</v>
      </c>
    </row>
    <row r="139" spans="1:6">
      <c r="A139" t="s">
        <v>308</v>
      </c>
      <c r="B139" t="s">
        <v>57</v>
      </c>
      <c r="C139" t="s">
        <v>100</v>
      </c>
      <c r="D139" s="1">
        <v>46290</v>
      </c>
      <c r="E139" s="1">
        <v>46293</v>
      </c>
      <c r="F139" t="s">
        <v>176</v>
      </c>
    </row>
    <row r="140" spans="1:6">
      <c r="A140" t="s">
        <v>309</v>
      </c>
      <c r="B140" t="s">
        <v>51</v>
      </c>
      <c r="C140" t="s">
        <v>118</v>
      </c>
      <c r="D140" s="1">
        <v>46101</v>
      </c>
      <c r="E140" s="1">
        <v>46106</v>
      </c>
      <c r="F140" t="s">
        <v>169</v>
      </c>
    </row>
    <row r="141" spans="1:6">
      <c r="A141" t="s">
        <v>310</v>
      </c>
      <c r="B141" t="s">
        <v>19</v>
      </c>
      <c r="C141" t="s">
        <v>151</v>
      </c>
      <c r="D141" s="1">
        <v>46164</v>
      </c>
      <c r="E141" s="1">
        <v>46169</v>
      </c>
      <c r="F141" t="s">
        <v>176</v>
      </c>
    </row>
    <row r="142" spans="1:6">
      <c r="A142" t="s">
        <v>311</v>
      </c>
      <c r="B142" t="s">
        <v>43</v>
      </c>
      <c r="C142" t="s">
        <v>100</v>
      </c>
      <c r="D142" s="1">
        <v>46282</v>
      </c>
      <c r="E142" s="1">
        <v>46285</v>
      </c>
      <c r="F142" t="s">
        <v>169</v>
      </c>
    </row>
    <row r="143" spans="1:6">
      <c r="A143" t="s">
        <v>312</v>
      </c>
      <c r="B143" t="s">
        <v>49</v>
      </c>
      <c r="C143" t="s">
        <v>118</v>
      </c>
      <c r="D143" s="1">
        <v>46147</v>
      </c>
      <c r="E143" s="1">
        <v>46148</v>
      </c>
      <c r="F143" t="s">
        <v>169</v>
      </c>
    </row>
    <row r="144" spans="1:6">
      <c r="A144" t="s">
        <v>313</v>
      </c>
      <c r="B144" t="s">
        <v>58</v>
      </c>
      <c r="C144" t="s">
        <v>110</v>
      </c>
      <c r="D144" s="1">
        <v>46118</v>
      </c>
      <c r="E144" s="1">
        <v>46120</v>
      </c>
      <c r="F144" t="s">
        <v>174</v>
      </c>
    </row>
    <row r="145" spans="1:6">
      <c r="A145" t="s">
        <v>314</v>
      </c>
      <c r="B145" t="s">
        <v>36</v>
      </c>
      <c r="C145" t="s">
        <v>100</v>
      </c>
      <c r="D145" s="1">
        <v>46325</v>
      </c>
      <c r="E145" s="1">
        <v>46329</v>
      </c>
      <c r="F145" t="s">
        <v>176</v>
      </c>
    </row>
    <row r="146" spans="1:6">
      <c r="A146" t="s">
        <v>315</v>
      </c>
      <c r="B146" t="s">
        <v>71</v>
      </c>
      <c r="C146" t="s">
        <v>124</v>
      </c>
      <c r="D146" s="1">
        <v>46176</v>
      </c>
      <c r="E146" s="1">
        <v>46177</v>
      </c>
      <c r="F146" t="s">
        <v>169</v>
      </c>
    </row>
    <row r="147" spans="1:6">
      <c r="A147" t="s">
        <v>316</v>
      </c>
      <c r="B147" t="s">
        <v>57</v>
      </c>
      <c r="C147" t="s">
        <v>144</v>
      </c>
      <c r="D147" s="1">
        <v>46279</v>
      </c>
      <c r="E147" s="1">
        <v>46281</v>
      </c>
      <c r="F147" t="s">
        <v>176</v>
      </c>
    </row>
    <row r="148" spans="1:6">
      <c r="A148" t="s">
        <v>317</v>
      </c>
      <c r="B148" t="s">
        <v>78</v>
      </c>
      <c r="C148" t="s">
        <v>148</v>
      </c>
      <c r="D148" s="1">
        <v>46263</v>
      </c>
      <c r="E148" s="1">
        <v>46266</v>
      </c>
      <c r="F148" t="s">
        <v>169</v>
      </c>
    </row>
    <row r="149" spans="1:6">
      <c r="A149" t="s">
        <v>318</v>
      </c>
      <c r="B149" t="s">
        <v>45</v>
      </c>
      <c r="C149" t="s">
        <v>100</v>
      </c>
      <c r="D149" s="1">
        <v>46061</v>
      </c>
      <c r="E149" s="1">
        <v>46066</v>
      </c>
      <c r="F149" t="s">
        <v>169</v>
      </c>
    </row>
    <row r="150" spans="1:6">
      <c r="A150" t="s">
        <v>319</v>
      </c>
      <c r="B150" t="s">
        <v>43</v>
      </c>
      <c r="C150" t="s">
        <v>100</v>
      </c>
      <c r="D150" s="1">
        <v>46199</v>
      </c>
      <c r="E150" s="1">
        <v>46200</v>
      </c>
      <c r="F150" t="s">
        <v>176</v>
      </c>
    </row>
    <row r="151" spans="1:6">
      <c r="A151" t="s">
        <v>320</v>
      </c>
      <c r="B151" t="s">
        <v>51</v>
      </c>
      <c r="C151" t="s">
        <v>94</v>
      </c>
      <c r="D151" s="1">
        <v>46081</v>
      </c>
      <c r="E151" s="1">
        <v>46085</v>
      </c>
      <c r="F151" t="s">
        <v>176</v>
      </c>
    </row>
    <row r="152" spans="1:6">
      <c r="A152" t="s">
        <v>321</v>
      </c>
      <c r="B152" t="s">
        <v>40</v>
      </c>
      <c r="C152" t="s">
        <v>105</v>
      </c>
      <c r="D152" s="1">
        <v>46127</v>
      </c>
      <c r="E152" s="1">
        <v>46132</v>
      </c>
      <c r="F152" t="s">
        <v>174</v>
      </c>
    </row>
    <row r="153" spans="1:6">
      <c r="A153" t="s">
        <v>322</v>
      </c>
      <c r="B153" t="s">
        <v>38</v>
      </c>
      <c r="C153" t="s">
        <v>141</v>
      </c>
      <c r="D153" s="1">
        <v>46248</v>
      </c>
      <c r="E153" s="1">
        <v>46249</v>
      </c>
      <c r="F153" t="s">
        <v>176</v>
      </c>
    </row>
    <row r="154" spans="1:6">
      <c r="A154" t="s">
        <v>323</v>
      </c>
      <c r="B154" t="s">
        <v>40</v>
      </c>
      <c r="C154" t="s">
        <v>141</v>
      </c>
      <c r="D154" s="1">
        <v>46128</v>
      </c>
      <c r="E154" s="1">
        <v>46132</v>
      </c>
      <c r="F154" t="s">
        <v>169</v>
      </c>
    </row>
    <row r="155" spans="1:6">
      <c r="A155" t="s">
        <v>324</v>
      </c>
      <c r="B155" t="s">
        <v>34</v>
      </c>
      <c r="C155" t="s">
        <v>141</v>
      </c>
      <c r="D155" s="1">
        <v>46294</v>
      </c>
      <c r="E155" s="1">
        <v>46297</v>
      </c>
      <c r="F155" t="s">
        <v>169</v>
      </c>
    </row>
    <row r="156" spans="1:6">
      <c r="A156" t="s">
        <v>325</v>
      </c>
      <c r="B156" t="s">
        <v>43</v>
      </c>
      <c r="C156" t="s">
        <v>141</v>
      </c>
      <c r="D156" s="1">
        <v>46048</v>
      </c>
      <c r="E156" s="1">
        <v>46053</v>
      </c>
      <c r="F156" t="s">
        <v>174</v>
      </c>
    </row>
    <row r="157" spans="1:6">
      <c r="A157" t="s">
        <v>326</v>
      </c>
      <c r="B157" t="s">
        <v>10</v>
      </c>
      <c r="C157" t="s">
        <v>88</v>
      </c>
      <c r="D157" s="1">
        <v>46152</v>
      </c>
      <c r="E157" s="1">
        <v>46156</v>
      </c>
      <c r="F157" t="s">
        <v>174</v>
      </c>
    </row>
    <row r="158" spans="1:6">
      <c r="A158" t="s">
        <v>327</v>
      </c>
      <c r="B158" t="s">
        <v>17</v>
      </c>
      <c r="C158" t="s">
        <v>88</v>
      </c>
      <c r="D158" s="1">
        <v>46313</v>
      </c>
      <c r="E158" s="1">
        <v>46316</v>
      </c>
      <c r="F158" t="s">
        <v>174</v>
      </c>
    </row>
    <row r="159" spans="1:6">
      <c r="A159" t="s">
        <v>328</v>
      </c>
      <c r="B159" t="s">
        <v>27</v>
      </c>
      <c r="C159" t="s">
        <v>141</v>
      </c>
      <c r="D159" s="1">
        <v>46193</v>
      </c>
      <c r="E159" s="1">
        <v>46197</v>
      </c>
      <c r="F159" t="s">
        <v>176</v>
      </c>
    </row>
    <row r="160" spans="1:6">
      <c r="A160" t="s">
        <v>329</v>
      </c>
      <c r="B160" t="s">
        <v>51</v>
      </c>
      <c r="C160" t="s">
        <v>114</v>
      </c>
      <c r="D160" s="1">
        <v>46155</v>
      </c>
      <c r="E160" s="1">
        <v>46158</v>
      </c>
      <c r="F160" t="s">
        <v>174</v>
      </c>
    </row>
    <row r="161" spans="1:6">
      <c r="A161" t="s">
        <v>330</v>
      </c>
      <c r="B161" t="s">
        <v>74</v>
      </c>
      <c r="C161" t="s">
        <v>118</v>
      </c>
      <c r="D161" s="1">
        <v>46250</v>
      </c>
      <c r="E161" s="1">
        <v>46255</v>
      </c>
      <c r="F161" t="s">
        <v>174</v>
      </c>
    </row>
    <row r="162" spans="1:6">
      <c r="A162" t="s">
        <v>331</v>
      </c>
      <c r="B162" t="s">
        <v>30</v>
      </c>
      <c r="C162" t="s">
        <v>155</v>
      </c>
      <c r="D162" s="1">
        <v>46101</v>
      </c>
      <c r="E162" s="1">
        <v>46106</v>
      </c>
      <c r="F162" t="s">
        <v>169</v>
      </c>
    </row>
    <row r="163" spans="1:6">
      <c r="A163" t="s">
        <v>332</v>
      </c>
      <c r="B163" t="s">
        <v>76</v>
      </c>
      <c r="C163" t="s">
        <v>136</v>
      </c>
      <c r="D163" s="1">
        <v>46047</v>
      </c>
      <c r="E163" s="1">
        <v>46050</v>
      </c>
      <c r="F163" t="s">
        <v>174</v>
      </c>
    </row>
    <row r="164" spans="1:6">
      <c r="A164" t="s">
        <v>333</v>
      </c>
      <c r="B164" t="s">
        <v>40</v>
      </c>
      <c r="C164" t="s">
        <v>151</v>
      </c>
      <c r="D164" s="1">
        <v>46074</v>
      </c>
      <c r="E164" s="1">
        <v>46078</v>
      </c>
      <c r="F164" t="s">
        <v>169</v>
      </c>
    </row>
    <row r="165" spans="1:6">
      <c r="A165" t="s">
        <v>334</v>
      </c>
      <c r="B165" t="s">
        <v>59</v>
      </c>
      <c r="C165" t="s">
        <v>124</v>
      </c>
      <c r="D165" s="1">
        <v>46206</v>
      </c>
      <c r="E165" s="1">
        <v>46211</v>
      </c>
      <c r="F165" t="s">
        <v>174</v>
      </c>
    </row>
    <row r="166" spans="1:6">
      <c r="A166" t="s">
        <v>335</v>
      </c>
      <c r="B166" t="s">
        <v>14</v>
      </c>
      <c r="C166" t="s">
        <v>100</v>
      </c>
      <c r="D166" s="1">
        <v>46138</v>
      </c>
      <c r="E166" s="1">
        <v>46140</v>
      </c>
      <c r="F166" t="s">
        <v>174</v>
      </c>
    </row>
    <row r="167" spans="1:6">
      <c r="A167" t="s">
        <v>336</v>
      </c>
      <c r="B167" t="s">
        <v>34</v>
      </c>
      <c r="C167" t="s">
        <v>155</v>
      </c>
      <c r="D167" s="1">
        <v>46195</v>
      </c>
      <c r="E167" s="1">
        <v>46199</v>
      </c>
      <c r="F167" t="s">
        <v>176</v>
      </c>
    </row>
    <row r="168" spans="1:6">
      <c r="A168" t="s">
        <v>337</v>
      </c>
      <c r="B168" t="s">
        <v>57</v>
      </c>
      <c r="C168" t="s">
        <v>141</v>
      </c>
      <c r="D168" s="1">
        <v>46276</v>
      </c>
      <c r="E168" s="1">
        <v>46280</v>
      </c>
      <c r="F168" t="s">
        <v>169</v>
      </c>
    </row>
    <row r="169" spans="1:6">
      <c r="A169" t="s">
        <v>338</v>
      </c>
      <c r="B169" t="s">
        <v>30</v>
      </c>
      <c r="C169" t="s">
        <v>118</v>
      </c>
      <c r="D169" s="1">
        <v>46199</v>
      </c>
      <c r="E169" s="1">
        <v>46200</v>
      </c>
      <c r="F169" t="s">
        <v>176</v>
      </c>
    </row>
    <row r="170" spans="1:6">
      <c r="A170" t="s">
        <v>339</v>
      </c>
      <c r="B170" t="s">
        <v>47</v>
      </c>
      <c r="C170" t="s">
        <v>110</v>
      </c>
      <c r="D170" s="1">
        <v>46057</v>
      </c>
      <c r="E170" s="1">
        <v>46061</v>
      </c>
      <c r="F170" t="s">
        <v>174</v>
      </c>
    </row>
    <row r="171" spans="1:6">
      <c r="A171" t="s">
        <v>340</v>
      </c>
      <c r="B171" t="s">
        <v>43</v>
      </c>
      <c r="C171" t="s">
        <v>148</v>
      </c>
      <c r="D171" s="1">
        <v>46072</v>
      </c>
      <c r="E171" s="1">
        <v>46075</v>
      </c>
      <c r="F171" t="s">
        <v>176</v>
      </c>
    </row>
    <row r="172" spans="1:6">
      <c r="A172" t="s">
        <v>341</v>
      </c>
      <c r="B172" t="s">
        <v>59</v>
      </c>
      <c r="C172" t="s">
        <v>100</v>
      </c>
      <c r="D172" s="1">
        <v>46199</v>
      </c>
      <c r="E172" s="1">
        <v>46202</v>
      </c>
      <c r="F172" t="s">
        <v>176</v>
      </c>
    </row>
    <row r="173" spans="1:6">
      <c r="A173" t="s">
        <v>342</v>
      </c>
      <c r="B173" t="s">
        <v>25</v>
      </c>
      <c r="C173" t="s">
        <v>124</v>
      </c>
      <c r="D173" s="1">
        <v>46338</v>
      </c>
      <c r="E173" s="1">
        <v>46339</v>
      </c>
      <c r="F173" t="s">
        <v>169</v>
      </c>
    </row>
    <row r="174" spans="1:6">
      <c r="A174" t="s">
        <v>343</v>
      </c>
      <c r="B174" t="s">
        <v>32</v>
      </c>
      <c r="C174" t="s">
        <v>88</v>
      </c>
      <c r="D174" s="1">
        <v>46252</v>
      </c>
      <c r="E174" s="1">
        <v>46256</v>
      </c>
      <c r="F174" t="s">
        <v>176</v>
      </c>
    </row>
    <row r="175" spans="1:6">
      <c r="A175" t="s">
        <v>344</v>
      </c>
      <c r="B175" t="s">
        <v>34</v>
      </c>
      <c r="C175" t="s">
        <v>136</v>
      </c>
      <c r="D175" s="1">
        <v>46046</v>
      </c>
      <c r="E175" s="1">
        <v>46048</v>
      </c>
      <c r="F175" t="s">
        <v>169</v>
      </c>
    </row>
    <row r="176" spans="1:6">
      <c r="A176" t="s">
        <v>345</v>
      </c>
      <c r="B176" t="s">
        <v>21</v>
      </c>
      <c r="C176" t="s">
        <v>129</v>
      </c>
      <c r="D176" s="1">
        <v>46342</v>
      </c>
      <c r="E176" s="1">
        <v>46343</v>
      </c>
      <c r="F176" t="s">
        <v>176</v>
      </c>
    </row>
    <row r="177" spans="1:6">
      <c r="A177" t="s">
        <v>346</v>
      </c>
      <c r="B177" t="s">
        <v>55</v>
      </c>
      <c r="C177" t="s">
        <v>94</v>
      </c>
      <c r="D177" s="1">
        <v>46331</v>
      </c>
      <c r="E177" s="1">
        <v>46332</v>
      </c>
      <c r="F177" t="s">
        <v>176</v>
      </c>
    </row>
    <row r="178" spans="1:6">
      <c r="A178" t="s">
        <v>347</v>
      </c>
      <c r="B178" t="s">
        <v>66</v>
      </c>
      <c r="C178" t="s">
        <v>129</v>
      </c>
      <c r="D178" s="1">
        <v>46205</v>
      </c>
      <c r="E178" s="1">
        <v>46207</v>
      </c>
      <c r="F178" t="s">
        <v>174</v>
      </c>
    </row>
    <row r="179" spans="1:6">
      <c r="A179" t="s">
        <v>348</v>
      </c>
      <c r="B179" t="s">
        <v>34</v>
      </c>
      <c r="C179" t="s">
        <v>105</v>
      </c>
      <c r="D179" s="1">
        <v>46082</v>
      </c>
      <c r="E179" s="1">
        <v>46087</v>
      </c>
      <c r="F179" t="s">
        <v>176</v>
      </c>
    </row>
    <row r="180" spans="1:6">
      <c r="A180" t="s">
        <v>349</v>
      </c>
      <c r="B180" t="s">
        <v>28</v>
      </c>
      <c r="C180" t="s">
        <v>114</v>
      </c>
      <c r="D180" s="1">
        <v>46125</v>
      </c>
      <c r="E180" s="1">
        <v>46128</v>
      </c>
      <c r="F180" t="s">
        <v>169</v>
      </c>
    </row>
    <row r="181" spans="1:6">
      <c r="A181" t="s">
        <v>350</v>
      </c>
      <c r="B181" t="s">
        <v>40</v>
      </c>
      <c r="C181" t="s">
        <v>110</v>
      </c>
      <c r="D181" s="1">
        <v>46113</v>
      </c>
      <c r="E181" s="1">
        <v>46118</v>
      </c>
      <c r="F181" t="s">
        <v>174</v>
      </c>
    </row>
    <row r="182" spans="1:6">
      <c r="A182" t="s">
        <v>351</v>
      </c>
      <c r="B182" t="s">
        <v>57</v>
      </c>
      <c r="C182" t="s">
        <v>136</v>
      </c>
      <c r="D182" s="1">
        <v>46278</v>
      </c>
      <c r="E182" s="1">
        <v>46279</v>
      </c>
      <c r="F182" t="s">
        <v>169</v>
      </c>
    </row>
    <row r="183" spans="1:6">
      <c r="A183" t="s">
        <v>352</v>
      </c>
      <c r="B183" t="s">
        <v>68</v>
      </c>
      <c r="C183" t="s">
        <v>105</v>
      </c>
      <c r="D183" s="1">
        <v>46102</v>
      </c>
      <c r="E183" s="1">
        <v>46107</v>
      </c>
      <c r="F183" t="s">
        <v>174</v>
      </c>
    </row>
    <row r="184" spans="1:6">
      <c r="A184" t="s">
        <v>353</v>
      </c>
      <c r="B184" t="s">
        <v>36</v>
      </c>
      <c r="C184" t="s">
        <v>100</v>
      </c>
      <c r="D184" s="1">
        <v>46232</v>
      </c>
      <c r="E184" s="1">
        <v>46233</v>
      </c>
      <c r="F184" t="s">
        <v>176</v>
      </c>
    </row>
    <row r="185" spans="1:6">
      <c r="A185" t="s">
        <v>354</v>
      </c>
      <c r="B185" t="s">
        <v>49</v>
      </c>
      <c r="C185" t="s">
        <v>151</v>
      </c>
      <c r="D185" s="1">
        <v>46272</v>
      </c>
      <c r="E185" s="1">
        <v>46274</v>
      </c>
      <c r="F185" t="s">
        <v>174</v>
      </c>
    </row>
    <row r="186" spans="1:6">
      <c r="A186" t="s">
        <v>355</v>
      </c>
      <c r="B186" t="s">
        <v>34</v>
      </c>
      <c r="C186" t="s">
        <v>88</v>
      </c>
      <c r="D186" s="1">
        <v>46036</v>
      </c>
      <c r="E186" s="1">
        <v>46037</v>
      </c>
      <c r="F186" t="s">
        <v>174</v>
      </c>
    </row>
    <row r="187" spans="1:6">
      <c r="A187" t="s">
        <v>356</v>
      </c>
      <c r="B187" t="s">
        <v>41</v>
      </c>
      <c r="C187" t="s">
        <v>148</v>
      </c>
      <c r="D187" s="1">
        <v>46111</v>
      </c>
      <c r="E187" s="1">
        <v>46113</v>
      </c>
      <c r="F187" t="s">
        <v>174</v>
      </c>
    </row>
    <row r="188" spans="1:6">
      <c r="A188" t="s">
        <v>357</v>
      </c>
      <c r="B188" t="s">
        <v>21</v>
      </c>
      <c r="C188" t="s">
        <v>105</v>
      </c>
      <c r="D188" s="1">
        <v>46112</v>
      </c>
      <c r="E188" s="1">
        <v>46113</v>
      </c>
      <c r="F188" t="s">
        <v>174</v>
      </c>
    </row>
    <row r="189" spans="1:6">
      <c r="A189" t="s">
        <v>358</v>
      </c>
      <c r="B189" t="s">
        <v>69</v>
      </c>
      <c r="C189" t="s">
        <v>88</v>
      </c>
      <c r="D189" s="1">
        <v>46257</v>
      </c>
      <c r="E189" s="1">
        <v>46258</v>
      </c>
      <c r="F189" t="s">
        <v>169</v>
      </c>
    </row>
    <row r="190" spans="1:6">
      <c r="A190" t="s">
        <v>359</v>
      </c>
      <c r="B190" t="s">
        <v>68</v>
      </c>
      <c r="C190" t="s">
        <v>88</v>
      </c>
      <c r="D190" s="1">
        <v>46105</v>
      </c>
      <c r="E190" s="1">
        <v>46107</v>
      </c>
      <c r="F190" t="s">
        <v>169</v>
      </c>
    </row>
    <row r="191" spans="1:6">
      <c r="A191" t="s">
        <v>360</v>
      </c>
      <c r="B191" t="s">
        <v>57</v>
      </c>
      <c r="C191" t="s">
        <v>124</v>
      </c>
      <c r="D191" s="1">
        <v>46353</v>
      </c>
      <c r="E191" s="1">
        <v>46356</v>
      </c>
      <c r="F191" t="s">
        <v>176</v>
      </c>
    </row>
    <row r="192" spans="1:6">
      <c r="A192" t="s">
        <v>361</v>
      </c>
      <c r="B192" t="s">
        <v>30</v>
      </c>
      <c r="C192" t="s">
        <v>129</v>
      </c>
      <c r="D192" s="1">
        <v>46198</v>
      </c>
      <c r="E192" s="1">
        <v>46199</v>
      </c>
      <c r="F192" t="s">
        <v>174</v>
      </c>
    </row>
    <row r="193" spans="1:6">
      <c r="A193" t="s">
        <v>362</v>
      </c>
      <c r="B193" t="s">
        <v>30</v>
      </c>
      <c r="C193" t="s">
        <v>110</v>
      </c>
      <c r="D193" s="1">
        <v>46128</v>
      </c>
      <c r="E193" s="1">
        <v>46132</v>
      </c>
      <c r="F193" t="s">
        <v>176</v>
      </c>
    </row>
    <row r="194" spans="1:6">
      <c r="A194" t="s">
        <v>363</v>
      </c>
      <c r="B194" t="s">
        <v>51</v>
      </c>
      <c r="C194" t="s">
        <v>118</v>
      </c>
      <c r="D194" s="1">
        <v>46180</v>
      </c>
      <c r="E194" s="1">
        <v>46185</v>
      </c>
      <c r="F194" t="s">
        <v>169</v>
      </c>
    </row>
    <row r="195" spans="1:6">
      <c r="A195" t="s">
        <v>364</v>
      </c>
      <c r="B195" t="s">
        <v>49</v>
      </c>
      <c r="C195" t="s">
        <v>124</v>
      </c>
      <c r="D195" s="1">
        <v>46299</v>
      </c>
      <c r="E195" s="1">
        <v>46302</v>
      </c>
      <c r="F195" t="s">
        <v>176</v>
      </c>
    </row>
    <row r="196" spans="1:6">
      <c r="A196" t="s">
        <v>365</v>
      </c>
      <c r="B196" t="s">
        <v>6</v>
      </c>
      <c r="C196" t="s">
        <v>161</v>
      </c>
      <c r="D196" s="1">
        <v>46156</v>
      </c>
      <c r="E196" s="1">
        <v>46160</v>
      </c>
      <c r="F196" t="s">
        <v>176</v>
      </c>
    </row>
    <row r="197" spans="1:6">
      <c r="A197" t="s">
        <v>366</v>
      </c>
      <c r="B197" t="s">
        <v>45</v>
      </c>
      <c r="C197" t="s">
        <v>136</v>
      </c>
      <c r="D197" s="1">
        <v>46171</v>
      </c>
      <c r="E197" s="1">
        <v>46174</v>
      </c>
      <c r="F197" t="s">
        <v>169</v>
      </c>
    </row>
    <row r="198" spans="1:6">
      <c r="A198" t="s">
        <v>367</v>
      </c>
      <c r="B198" t="s">
        <v>40</v>
      </c>
      <c r="C198" t="s">
        <v>94</v>
      </c>
      <c r="D198" s="1">
        <v>46317</v>
      </c>
      <c r="E198" s="1">
        <v>46318</v>
      </c>
      <c r="F198" t="s">
        <v>169</v>
      </c>
    </row>
    <row r="199" spans="1:6">
      <c r="A199" t="s">
        <v>368</v>
      </c>
      <c r="B199" t="s">
        <v>59</v>
      </c>
      <c r="C199" t="s">
        <v>148</v>
      </c>
      <c r="D199" s="1">
        <v>46323</v>
      </c>
      <c r="E199" s="1">
        <v>46324</v>
      </c>
      <c r="F199" t="s">
        <v>174</v>
      </c>
    </row>
    <row r="200" spans="1:6">
      <c r="A200" t="s">
        <v>369</v>
      </c>
      <c r="B200" t="s">
        <v>79</v>
      </c>
      <c r="C200" t="s">
        <v>151</v>
      </c>
      <c r="D200" s="1">
        <v>46073</v>
      </c>
      <c r="E200" s="1">
        <v>46078</v>
      </c>
      <c r="F200" t="s">
        <v>174</v>
      </c>
    </row>
    <row r="201" spans="1:6">
      <c r="A201" t="s">
        <v>370</v>
      </c>
      <c r="B201" t="s">
        <v>58</v>
      </c>
      <c r="C201" t="s">
        <v>136</v>
      </c>
      <c r="D201" s="1">
        <v>46214</v>
      </c>
      <c r="E201" s="1">
        <v>46215</v>
      </c>
      <c r="F201" t="s">
        <v>169</v>
      </c>
    </row>
    <row r="202" spans="1:6">
      <c r="A202" t="s">
        <v>371</v>
      </c>
      <c r="B202" t="s">
        <v>28</v>
      </c>
      <c r="C202" t="s">
        <v>110</v>
      </c>
      <c r="D202" s="1">
        <v>46266</v>
      </c>
      <c r="E202" s="1">
        <v>46267</v>
      </c>
      <c r="F202" t="s">
        <v>169</v>
      </c>
    </row>
    <row r="203" spans="1:6">
      <c r="A203" t="s">
        <v>372</v>
      </c>
      <c r="B203" t="s">
        <v>28</v>
      </c>
      <c r="C203" t="s">
        <v>88</v>
      </c>
      <c r="D203" s="1">
        <v>46252</v>
      </c>
      <c r="E203" s="1">
        <v>46255</v>
      </c>
      <c r="F203" t="s">
        <v>169</v>
      </c>
    </row>
    <row r="204" spans="1:6">
      <c r="A204" t="s">
        <v>373</v>
      </c>
      <c r="B204" t="s">
        <v>66</v>
      </c>
      <c r="C204" t="s">
        <v>100</v>
      </c>
      <c r="D204" s="1">
        <v>46305</v>
      </c>
      <c r="E204" s="1">
        <v>46309</v>
      </c>
      <c r="F204" t="s">
        <v>169</v>
      </c>
    </row>
    <row r="205" spans="1:6">
      <c r="A205" t="s">
        <v>374</v>
      </c>
      <c r="B205" t="s">
        <v>79</v>
      </c>
      <c r="C205" t="s">
        <v>141</v>
      </c>
      <c r="D205" s="1">
        <v>46251</v>
      </c>
      <c r="E205" s="1">
        <v>46252</v>
      </c>
      <c r="F205" t="s">
        <v>169</v>
      </c>
    </row>
    <row r="206" spans="1:6">
      <c r="A206" t="s">
        <v>375</v>
      </c>
      <c r="B206" t="s">
        <v>55</v>
      </c>
      <c r="C206" t="s">
        <v>161</v>
      </c>
      <c r="D206" s="1">
        <v>46320</v>
      </c>
      <c r="E206" s="1">
        <v>46322</v>
      </c>
      <c r="F206" t="s">
        <v>169</v>
      </c>
    </row>
    <row r="207" spans="1:6">
      <c r="A207" t="s">
        <v>376</v>
      </c>
      <c r="B207" t="s">
        <v>55</v>
      </c>
      <c r="C207" t="s">
        <v>124</v>
      </c>
      <c r="D207" s="1">
        <v>46337</v>
      </c>
      <c r="E207" s="1">
        <v>46342</v>
      </c>
      <c r="F207" t="s">
        <v>169</v>
      </c>
    </row>
    <row r="208" spans="1:6">
      <c r="A208" t="s">
        <v>377</v>
      </c>
      <c r="B208" t="s">
        <v>21</v>
      </c>
      <c r="C208" t="s">
        <v>144</v>
      </c>
      <c r="D208" s="1">
        <v>46288</v>
      </c>
      <c r="E208" s="1">
        <v>46293</v>
      </c>
      <c r="F208" t="s">
        <v>176</v>
      </c>
    </row>
    <row r="209" spans="1:6">
      <c r="A209" t="s">
        <v>378</v>
      </c>
      <c r="B209" t="s">
        <v>17</v>
      </c>
      <c r="C209" t="s">
        <v>161</v>
      </c>
      <c r="D209" s="1">
        <v>46111</v>
      </c>
      <c r="E209" s="1">
        <v>46116</v>
      </c>
      <c r="F209" t="s">
        <v>176</v>
      </c>
    </row>
    <row r="210" spans="1:6">
      <c r="A210" t="s">
        <v>379</v>
      </c>
      <c r="B210" t="s">
        <v>61</v>
      </c>
      <c r="C210" t="s">
        <v>144</v>
      </c>
      <c r="D210" s="1">
        <v>46076</v>
      </c>
      <c r="E210" s="1">
        <v>46079</v>
      </c>
      <c r="F210" t="s">
        <v>169</v>
      </c>
    </row>
    <row r="211" spans="1:6">
      <c r="A211" t="s">
        <v>380</v>
      </c>
      <c r="B211" t="s">
        <v>6</v>
      </c>
      <c r="C211" t="s">
        <v>110</v>
      </c>
      <c r="D211" s="1">
        <v>46060</v>
      </c>
      <c r="E211" s="1">
        <v>46065</v>
      </c>
      <c r="F211" t="s">
        <v>169</v>
      </c>
    </row>
    <row r="212" spans="1:6">
      <c r="A212" t="s">
        <v>381</v>
      </c>
      <c r="B212" t="s">
        <v>76</v>
      </c>
      <c r="C212" t="s">
        <v>118</v>
      </c>
      <c r="D212" s="1">
        <v>46065</v>
      </c>
      <c r="E212" s="1">
        <v>46070</v>
      </c>
      <c r="F212" t="s">
        <v>169</v>
      </c>
    </row>
    <row r="213" spans="1:6">
      <c r="A213" t="s">
        <v>382</v>
      </c>
      <c r="B213" t="s">
        <v>6</v>
      </c>
      <c r="C213" t="s">
        <v>88</v>
      </c>
      <c r="D213" s="1">
        <v>46299</v>
      </c>
      <c r="E213" s="1">
        <v>46304</v>
      </c>
      <c r="F213" t="s">
        <v>169</v>
      </c>
    </row>
    <row r="214" spans="1:6">
      <c r="A214" t="s">
        <v>383</v>
      </c>
      <c r="B214" t="s">
        <v>74</v>
      </c>
      <c r="C214" t="s">
        <v>110</v>
      </c>
      <c r="D214" s="1">
        <v>46095</v>
      </c>
      <c r="E214" s="1">
        <v>46096</v>
      </c>
      <c r="F214" t="s">
        <v>169</v>
      </c>
    </row>
    <row r="215" spans="1:6">
      <c r="A215" t="s">
        <v>384</v>
      </c>
      <c r="B215" t="s">
        <v>76</v>
      </c>
      <c r="C215" t="s">
        <v>124</v>
      </c>
      <c r="D215" s="1">
        <v>46285</v>
      </c>
      <c r="E215" s="1">
        <v>46286</v>
      </c>
      <c r="F215" t="s">
        <v>176</v>
      </c>
    </row>
    <row r="216" spans="1:6">
      <c r="A216" t="s">
        <v>385</v>
      </c>
      <c r="B216" t="s">
        <v>43</v>
      </c>
      <c r="C216" t="s">
        <v>114</v>
      </c>
      <c r="D216" s="1">
        <v>46039</v>
      </c>
      <c r="E216" s="1">
        <v>46044</v>
      </c>
      <c r="F216" t="s">
        <v>174</v>
      </c>
    </row>
    <row r="217" spans="1:6">
      <c r="A217" t="s">
        <v>386</v>
      </c>
      <c r="B217" t="s">
        <v>40</v>
      </c>
      <c r="C217" t="s">
        <v>144</v>
      </c>
      <c r="D217" s="1">
        <v>46344</v>
      </c>
      <c r="E217" s="1">
        <v>46345</v>
      </c>
      <c r="F217" t="s">
        <v>169</v>
      </c>
    </row>
    <row r="218" spans="1:6">
      <c r="A218" t="s">
        <v>387</v>
      </c>
      <c r="B218" t="s">
        <v>25</v>
      </c>
      <c r="C218" t="s">
        <v>161</v>
      </c>
      <c r="D218" s="1">
        <v>46075</v>
      </c>
      <c r="E218" s="1">
        <v>46079</v>
      </c>
      <c r="F218" t="s">
        <v>169</v>
      </c>
    </row>
    <row r="219" spans="1:6">
      <c r="A219" t="s">
        <v>388</v>
      </c>
      <c r="B219" t="s">
        <v>55</v>
      </c>
      <c r="C219" t="s">
        <v>100</v>
      </c>
      <c r="D219" s="1">
        <v>46343</v>
      </c>
      <c r="E219" s="1">
        <v>46347</v>
      </c>
      <c r="F219" t="s">
        <v>176</v>
      </c>
    </row>
    <row r="220" spans="1:6">
      <c r="A220" t="s">
        <v>389</v>
      </c>
      <c r="B220" t="s">
        <v>69</v>
      </c>
      <c r="C220" t="s">
        <v>100</v>
      </c>
      <c r="D220" s="1">
        <v>46128</v>
      </c>
      <c r="E220" s="1">
        <v>46133</v>
      </c>
      <c r="F220" t="s">
        <v>169</v>
      </c>
    </row>
    <row r="221" spans="1:6">
      <c r="A221" t="s">
        <v>390</v>
      </c>
      <c r="B221" t="s">
        <v>49</v>
      </c>
      <c r="C221" t="s">
        <v>94</v>
      </c>
      <c r="D221" s="1">
        <v>46352</v>
      </c>
      <c r="E221" s="1">
        <v>46354</v>
      </c>
      <c r="F221" t="s">
        <v>176</v>
      </c>
    </row>
    <row r="222" spans="1:6">
      <c r="A222" t="s">
        <v>391</v>
      </c>
      <c r="B222" t="s">
        <v>57</v>
      </c>
      <c r="C222" t="s">
        <v>118</v>
      </c>
      <c r="D222" s="1">
        <v>46116</v>
      </c>
      <c r="E222" s="1">
        <v>46119</v>
      </c>
      <c r="F222" t="s">
        <v>176</v>
      </c>
    </row>
    <row r="223" spans="1:6">
      <c r="A223" t="s">
        <v>392</v>
      </c>
      <c r="B223" t="s">
        <v>51</v>
      </c>
      <c r="C223" t="s">
        <v>94</v>
      </c>
      <c r="D223" s="1">
        <v>46037</v>
      </c>
      <c r="E223" s="1">
        <v>46040</v>
      </c>
      <c r="F223" t="s">
        <v>174</v>
      </c>
    </row>
    <row r="224" spans="1:6">
      <c r="A224" t="s">
        <v>393</v>
      </c>
      <c r="B224" t="s">
        <v>66</v>
      </c>
      <c r="C224" t="s">
        <v>88</v>
      </c>
      <c r="D224" s="1">
        <v>46262</v>
      </c>
      <c r="E224" s="1">
        <v>46263</v>
      </c>
      <c r="F224" t="s">
        <v>174</v>
      </c>
    </row>
    <row r="225" spans="1:6">
      <c r="A225" t="s">
        <v>394</v>
      </c>
      <c r="B225" t="s">
        <v>49</v>
      </c>
      <c r="C225" t="s">
        <v>136</v>
      </c>
      <c r="D225" s="1">
        <v>46139</v>
      </c>
      <c r="E225" s="1">
        <v>46141</v>
      </c>
      <c r="F225" t="s">
        <v>176</v>
      </c>
    </row>
    <row r="226" spans="1:6">
      <c r="A226" t="s">
        <v>395</v>
      </c>
      <c r="B226" t="s">
        <v>66</v>
      </c>
      <c r="C226" t="s">
        <v>129</v>
      </c>
      <c r="D226" s="1">
        <v>46206</v>
      </c>
      <c r="E226" s="1">
        <v>46207</v>
      </c>
      <c r="F226" t="s">
        <v>176</v>
      </c>
    </row>
    <row r="227" spans="1:6">
      <c r="A227" t="s">
        <v>396</v>
      </c>
      <c r="B227" t="s">
        <v>14</v>
      </c>
      <c r="C227" t="s">
        <v>114</v>
      </c>
      <c r="D227" s="1">
        <v>46300</v>
      </c>
      <c r="E227" s="1">
        <v>46301</v>
      </c>
      <c r="F227" t="s">
        <v>169</v>
      </c>
    </row>
    <row r="228" spans="1:6">
      <c r="A228" t="s">
        <v>397</v>
      </c>
      <c r="B228" t="s">
        <v>58</v>
      </c>
      <c r="C228" t="s">
        <v>110</v>
      </c>
      <c r="D228" s="1">
        <v>46234</v>
      </c>
      <c r="E228" s="1">
        <v>46236</v>
      </c>
      <c r="F228" t="s">
        <v>169</v>
      </c>
    </row>
    <row r="229" spans="1:6">
      <c r="A229" t="s">
        <v>398</v>
      </c>
      <c r="B229" t="s">
        <v>57</v>
      </c>
      <c r="C229" t="s">
        <v>114</v>
      </c>
      <c r="D229" s="1">
        <v>46077</v>
      </c>
      <c r="E229" s="1">
        <v>46080</v>
      </c>
      <c r="F229" t="s">
        <v>176</v>
      </c>
    </row>
    <row r="230" spans="1:6">
      <c r="A230" t="s">
        <v>399</v>
      </c>
      <c r="B230" t="s">
        <v>23</v>
      </c>
      <c r="C230" t="s">
        <v>114</v>
      </c>
      <c r="D230" s="1">
        <v>46258</v>
      </c>
      <c r="E230" s="1">
        <v>46260</v>
      </c>
      <c r="F230" t="s">
        <v>169</v>
      </c>
    </row>
    <row r="231" spans="1:6">
      <c r="A231" t="s">
        <v>400</v>
      </c>
      <c r="B231" t="s">
        <v>25</v>
      </c>
      <c r="C231" t="s">
        <v>151</v>
      </c>
      <c r="D231" s="1">
        <v>46023</v>
      </c>
      <c r="E231" s="1">
        <v>46025</v>
      </c>
      <c r="F231" t="s">
        <v>169</v>
      </c>
    </row>
    <row r="232" spans="1:6">
      <c r="A232" t="s">
        <v>401</v>
      </c>
      <c r="B232" t="s">
        <v>14</v>
      </c>
      <c r="C232" t="s">
        <v>136</v>
      </c>
      <c r="D232" s="1">
        <v>46171</v>
      </c>
      <c r="E232" s="1">
        <v>46175</v>
      </c>
      <c r="F232" t="s">
        <v>174</v>
      </c>
    </row>
    <row r="233" spans="1:6">
      <c r="A233" t="s">
        <v>402</v>
      </c>
      <c r="B233" t="s">
        <v>47</v>
      </c>
      <c r="C233" t="s">
        <v>110</v>
      </c>
      <c r="D233" s="1">
        <v>46187</v>
      </c>
      <c r="E233" s="1">
        <v>46189</v>
      </c>
      <c r="F233" t="s">
        <v>174</v>
      </c>
    </row>
    <row r="234" spans="1:6">
      <c r="A234" t="s">
        <v>403</v>
      </c>
      <c r="B234" t="s">
        <v>43</v>
      </c>
      <c r="C234" t="s">
        <v>155</v>
      </c>
      <c r="D234" s="1">
        <v>46261</v>
      </c>
      <c r="E234" s="1">
        <v>46264</v>
      </c>
      <c r="F234" t="s">
        <v>176</v>
      </c>
    </row>
    <row r="235" spans="1:6">
      <c r="A235" t="s">
        <v>404</v>
      </c>
      <c r="B235" t="s">
        <v>34</v>
      </c>
      <c r="C235" t="s">
        <v>110</v>
      </c>
      <c r="D235" s="1">
        <v>46241</v>
      </c>
      <c r="E235" s="1">
        <v>46242</v>
      </c>
      <c r="F235" t="s">
        <v>169</v>
      </c>
    </row>
    <row r="236" spans="1:6">
      <c r="A236" t="s">
        <v>405</v>
      </c>
      <c r="B236" t="s">
        <v>41</v>
      </c>
      <c r="C236" t="s">
        <v>110</v>
      </c>
      <c r="D236" s="1">
        <v>46048</v>
      </c>
      <c r="E236" s="1">
        <v>46051</v>
      </c>
      <c r="F236" t="s">
        <v>174</v>
      </c>
    </row>
    <row r="237" spans="1:6">
      <c r="A237" t="s">
        <v>406</v>
      </c>
      <c r="B237" t="s">
        <v>78</v>
      </c>
      <c r="C237" t="s">
        <v>148</v>
      </c>
      <c r="D237" s="1">
        <v>46193</v>
      </c>
      <c r="E237" s="1">
        <v>46197</v>
      </c>
      <c r="F237" t="s">
        <v>169</v>
      </c>
    </row>
    <row r="238" spans="1:6">
      <c r="A238" t="s">
        <v>407</v>
      </c>
      <c r="B238" t="s">
        <v>19</v>
      </c>
      <c r="C238" t="s">
        <v>100</v>
      </c>
      <c r="D238" s="1">
        <v>46282</v>
      </c>
      <c r="E238" s="1">
        <v>46287</v>
      </c>
      <c r="F238" t="s">
        <v>169</v>
      </c>
    </row>
    <row r="239" spans="1:6">
      <c r="A239" t="s">
        <v>408</v>
      </c>
      <c r="B239" t="s">
        <v>28</v>
      </c>
      <c r="C239" t="s">
        <v>118</v>
      </c>
      <c r="D239" s="1">
        <v>46130</v>
      </c>
      <c r="E239" s="1">
        <v>46134</v>
      </c>
      <c r="F239" t="s">
        <v>169</v>
      </c>
    </row>
    <row r="240" spans="1:6">
      <c r="A240" t="s">
        <v>409</v>
      </c>
      <c r="B240" t="s">
        <v>57</v>
      </c>
      <c r="C240" t="s">
        <v>144</v>
      </c>
      <c r="D240" s="1">
        <v>46029</v>
      </c>
      <c r="E240" s="1">
        <v>46034</v>
      </c>
      <c r="F240" t="s">
        <v>174</v>
      </c>
    </row>
    <row r="241" spans="1:6">
      <c r="A241" t="s">
        <v>410</v>
      </c>
      <c r="B241" t="s">
        <v>58</v>
      </c>
      <c r="C241" t="s">
        <v>148</v>
      </c>
      <c r="D241" s="1">
        <v>46306</v>
      </c>
      <c r="E241" s="1">
        <v>46309</v>
      </c>
      <c r="F241" t="s">
        <v>174</v>
      </c>
    </row>
    <row r="242" spans="1:6">
      <c r="A242" t="s">
        <v>411</v>
      </c>
      <c r="B242" t="s">
        <v>38</v>
      </c>
      <c r="C242" t="s">
        <v>105</v>
      </c>
      <c r="D242" s="1">
        <v>46143</v>
      </c>
      <c r="E242" s="1">
        <v>46147</v>
      </c>
      <c r="F242" t="s">
        <v>169</v>
      </c>
    </row>
    <row r="243" spans="1:6">
      <c r="A243" t="s">
        <v>412</v>
      </c>
      <c r="B243" t="s">
        <v>17</v>
      </c>
      <c r="C243" t="s">
        <v>118</v>
      </c>
      <c r="D243" s="1">
        <v>46050</v>
      </c>
      <c r="E243" s="1">
        <v>46052</v>
      </c>
      <c r="F243" t="s">
        <v>174</v>
      </c>
    </row>
    <row r="244" spans="1:6">
      <c r="A244" t="s">
        <v>413</v>
      </c>
      <c r="B244" t="s">
        <v>40</v>
      </c>
      <c r="C244" t="s">
        <v>144</v>
      </c>
      <c r="D244" s="1">
        <v>46055</v>
      </c>
      <c r="E244" s="1">
        <v>46058</v>
      </c>
      <c r="F244" t="s">
        <v>169</v>
      </c>
    </row>
    <row r="245" spans="1:6">
      <c r="A245" t="s">
        <v>414</v>
      </c>
      <c r="B245" t="s">
        <v>41</v>
      </c>
      <c r="C245" t="s">
        <v>155</v>
      </c>
      <c r="D245" s="1">
        <v>46267</v>
      </c>
      <c r="E245" s="1">
        <v>46269</v>
      </c>
      <c r="F245" t="s">
        <v>169</v>
      </c>
    </row>
    <row r="246" spans="1:6">
      <c r="A246" t="s">
        <v>415</v>
      </c>
      <c r="B246" t="s">
        <v>71</v>
      </c>
      <c r="C246" t="s">
        <v>118</v>
      </c>
      <c r="D246" s="1">
        <v>46312</v>
      </c>
      <c r="E246" s="1">
        <v>46313</v>
      </c>
      <c r="F246" t="s">
        <v>174</v>
      </c>
    </row>
    <row r="247" spans="1:6">
      <c r="A247" t="s">
        <v>416</v>
      </c>
      <c r="B247" t="s">
        <v>36</v>
      </c>
      <c r="C247" t="s">
        <v>155</v>
      </c>
      <c r="D247" s="1">
        <v>46076</v>
      </c>
      <c r="E247" s="1">
        <v>46081</v>
      </c>
      <c r="F247" t="s">
        <v>174</v>
      </c>
    </row>
    <row r="248" spans="1:6">
      <c r="A248" t="s">
        <v>417</v>
      </c>
      <c r="B248" t="s">
        <v>25</v>
      </c>
      <c r="C248" t="s">
        <v>118</v>
      </c>
      <c r="D248" s="1">
        <v>46080</v>
      </c>
      <c r="E248" s="1">
        <v>46083</v>
      </c>
      <c r="F248" t="s">
        <v>174</v>
      </c>
    </row>
    <row r="249" spans="1:6">
      <c r="A249" t="s">
        <v>418</v>
      </c>
      <c r="B249" t="s">
        <v>40</v>
      </c>
      <c r="C249" t="s">
        <v>151</v>
      </c>
      <c r="D249" s="1">
        <v>46087</v>
      </c>
      <c r="E249" s="1">
        <v>46088</v>
      </c>
      <c r="F249" t="s">
        <v>174</v>
      </c>
    </row>
    <row r="250" spans="1:6">
      <c r="A250" t="s">
        <v>419</v>
      </c>
      <c r="B250" t="s">
        <v>28</v>
      </c>
      <c r="C250" t="s">
        <v>151</v>
      </c>
      <c r="D250" s="1">
        <v>46193</v>
      </c>
      <c r="E250" s="1">
        <v>46197</v>
      </c>
      <c r="F250" t="s">
        <v>174</v>
      </c>
    </row>
    <row r="251" spans="1:6">
      <c r="A251" t="s">
        <v>420</v>
      </c>
      <c r="B251" t="s">
        <v>14</v>
      </c>
      <c r="C251" t="s">
        <v>151</v>
      </c>
      <c r="D251" s="1">
        <v>46192</v>
      </c>
      <c r="E251" s="1">
        <v>46193</v>
      </c>
      <c r="F251" t="s">
        <v>174</v>
      </c>
    </row>
    <row r="252" spans="1:6">
      <c r="A252" t="s">
        <v>421</v>
      </c>
      <c r="B252" t="s">
        <v>74</v>
      </c>
      <c r="C252" t="s">
        <v>110</v>
      </c>
      <c r="D252" s="1">
        <v>46301</v>
      </c>
      <c r="E252" s="1">
        <v>46306</v>
      </c>
      <c r="F252" t="s">
        <v>176</v>
      </c>
    </row>
    <row r="253" spans="1:6">
      <c r="A253" t="s">
        <v>422</v>
      </c>
      <c r="B253" t="s">
        <v>76</v>
      </c>
      <c r="C253" t="s">
        <v>118</v>
      </c>
      <c r="D253" s="1">
        <v>46170</v>
      </c>
      <c r="E253" s="1">
        <v>46175</v>
      </c>
      <c r="F253" t="s">
        <v>176</v>
      </c>
    </row>
    <row r="254" spans="1:6">
      <c r="A254" t="s">
        <v>423</v>
      </c>
      <c r="B254" t="s">
        <v>49</v>
      </c>
      <c r="C254" t="s">
        <v>114</v>
      </c>
      <c r="D254" s="1">
        <v>46288</v>
      </c>
      <c r="E254" s="1">
        <v>46290</v>
      </c>
      <c r="F254" t="s">
        <v>174</v>
      </c>
    </row>
    <row r="255" spans="1:6">
      <c r="A255" t="s">
        <v>424</v>
      </c>
      <c r="B255" t="s">
        <v>21</v>
      </c>
      <c r="C255" t="s">
        <v>141</v>
      </c>
      <c r="D255" s="1">
        <v>46334</v>
      </c>
      <c r="E255" s="1">
        <v>46338</v>
      </c>
      <c r="F255" t="s">
        <v>174</v>
      </c>
    </row>
    <row r="256" spans="1:6">
      <c r="A256" t="s">
        <v>425</v>
      </c>
      <c r="B256" t="s">
        <v>64</v>
      </c>
      <c r="C256" t="s">
        <v>94</v>
      </c>
      <c r="D256" s="1">
        <v>46209</v>
      </c>
      <c r="E256" s="1">
        <v>46210</v>
      </c>
      <c r="F256" t="s">
        <v>176</v>
      </c>
    </row>
    <row r="257" spans="1:6">
      <c r="A257" t="s">
        <v>426</v>
      </c>
      <c r="B257" t="s">
        <v>66</v>
      </c>
      <c r="C257" t="s">
        <v>100</v>
      </c>
      <c r="D257" s="1">
        <v>46214</v>
      </c>
      <c r="E257" s="1">
        <v>46218</v>
      </c>
      <c r="F257" t="s">
        <v>176</v>
      </c>
    </row>
    <row r="258" spans="1:6">
      <c r="A258" t="s">
        <v>427</v>
      </c>
      <c r="B258" t="s">
        <v>43</v>
      </c>
      <c r="C258" t="s">
        <v>144</v>
      </c>
      <c r="D258" s="1">
        <v>46346</v>
      </c>
      <c r="E258" s="1">
        <v>46348</v>
      </c>
      <c r="F258" t="s">
        <v>174</v>
      </c>
    </row>
    <row r="259" spans="1:6">
      <c r="A259" t="s">
        <v>428</v>
      </c>
      <c r="B259" t="s">
        <v>6</v>
      </c>
      <c r="C259" t="s">
        <v>141</v>
      </c>
      <c r="D259" s="1">
        <v>46141</v>
      </c>
      <c r="E259" s="1">
        <v>46143</v>
      </c>
      <c r="F259" t="s">
        <v>169</v>
      </c>
    </row>
    <row r="260" spans="1:6">
      <c r="A260" t="s">
        <v>429</v>
      </c>
      <c r="B260" t="s">
        <v>30</v>
      </c>
      <c r="C260" t="s">
        <v>88</v>
      </c>
      <c r="D260" s="1">
        <v>46123</v>
      </c>
      <c r="E260" s="1">
        <v>46126</v>
      </c>
      <c r="F260" t="s">
        <v>176</v>
      </c>
    </row>
    <row r="261" spans="1:6">
      <c r="A261" t="s">
        <v>430</v>
      </c>
      <c r="B261" t="s">
        <v>19</v>
      </c>
      <c r="C261" t="s">
        <v>105</v>
      </c>
      <c r="D261" s="1">
        <v>46032</v>
      </c>
      <c r="E261" s="1">
        <v>46034</v>
      </c>
      <c r="F261" t="s">
        <v>169</v>
      </c>
    </row>
    <row r="262" spans="1:6">
      <c r="A262" t="s">
        <v>431</v>
      </c>
      <c r="B262" t="s">
        <v>32</v>
      </c>
      <c r="C262" t="s">
        <v>110</v>
      </c>
      <c r="D262" s="1">
        <v>46105</v>
      </c>
      <c r="E262" s="1">
        <v>46110</v>
      </c>
      <c r="F262" t="s">
        <v>169</v>
      </c>
    </row>
    <row r="263" spans="1:6">
      <c r="A263" t="s">
        <v>432</v>
      </c>
      <c r="B263" t="s">
        <v>76</v>
      </c>
      <c r="C263" t="s">
        <v>118</v>
      </c>
      <c r="D263" s="1">
        <v>46325</v>
      </c>
      <c r="E263" s="1">
        <v>46330</v>
      </c>
      <c r="F263" t="s">
        <v>174</v>
      </c>
    </row>
    <row r="264" spans="1:6">
      <c r="A264" t="s">
        <v>433</v>
      </c>
      <c r="B264" t="s">
        <v>55</v>
      </c>
      <c r="C264" t="s">
        <v>151</v>
      </c>
      <c r="D264" s="1">
        <v>46129</v>
      </c>
      <c r="E264" s="1">
        <v>46131</v>
      </c>
      <c r="F264" t="s">
        <v>169</v>
      </c>
    </row>
    <row r="265" spans="1:6">
      <c r="A265" t="s">
        <v>434</v>
      </c>
      <c r="B265" t="s">
        <v>41</v>
      </c>
      <c r="C265" t="s">
        <v>124</v>
      </c>
      <c r="D265" s="1">
        <v>46061</v>
      </c>
      <c r="E265" s="1">
        <v>46066</v>
      </c>
      <c r="F265" t="s">
        <v>169</v>
      </c>
    </row>
    <row r="266" spans="1:6">
      <c r="A266" t="s">
        <v>435</v>
      </c>
      <c r="B266" t="s">
        <v>78</v>
      </c>
      <c r="C266" t="s">
        <v>161</v>
      </c>
      <c r="D266" s="1">
        <v>46083</v>
      </c>
      <c r="E266" s="1">
        <v>46086</v>
      </c>
      <c r="F266" t="s">
        <v>169</v>
      </c>
    </row>
    <row r="267" spans="1:6">
      <c r="A267" t="s">
        <v>436</v>
      </c>
      <c r="B267" t="s">
        <v>58</v>
      </c>
      <c r="C267" t="s">
        <v>141</v>
      </c>
      <c r="D267" s="1">
        <v>46075</v>
      </c>
      <c r="E267" s="1">
        <v>46078</v>
      </c>
      <c r="F267" t="s">
        <v>174</v>
      </c>
    </row>
    <row r="268" spans="1:6">
      <c r="A268" t="s">
        <v>437</v>
      </c>
      <c r="B268" t="s">
        <v>10</v>
      </c>
      <c r="C268" t="s">
        <v>100</v>
      </c>
      <c r="D268" s="1">
        <v>46053</v>
      </c>
      <c r="E268" s="1">
        <v>46058</v>
      </c>
      <c r="F268" t="s">
        <v>169</v>
      </c>
    </row>
    <row r="269" spans="1:6">
      <c r="A269" t="s">
        <v>438</v>
      </c>
      <c r="B269" t="s">
        <v>41</v>
      </c>
      <c r="C269" t="s">
        <v>100</v>
      </c>
      <c r="D269" s="1">
        <v>46112</v>
      </c>
      <c r="E269" s="1">
        <v>46117</v>
      </c>
      <c r="F269" t="s">
        <v>169</v>
      </c>
    </row>
    <row r="270" spans="1:6">
      <c r="A270" t="s">
        <v>439</v>
      </c>
      <c r="B270" t="s">
        <v>30</v>
      </c>
      <c r="C270" t="s">
        <v>88</v>
      </c>
      <c r="D270" s="1">
        <v>46031</v>
      </c>
      <c r="E270" s="1">
        <v>46036</v>
      </c>
      <c r="F270" t="s">
        <v>174</v>
      </c>
    </row>
    <row r="271" spans="1:6">
      <c r="A271" t="s">
        <v>440</v>
      </c>
      <c r="B271" t="s">
        <v>57</v>
      </c>
      <c r="C271" t="s">
        <v>155</v>
      </c>
      <c r="D271" s="1">
        <v>46149</v>
      </c>
      <c r="E271" s="1">
        <v>46151</v>
      </c>
      <c r="F271" t="s">
        <v>174</v>
      </c>
    </row>
    <row r="272" spans="1:6">
      <c r="A272" t="s">
        <v>441</v>
      </c>
      <c r="B272" t="s">
        <v>59</v>
      </c>
      <c r="C272" t="s">
        <v>151</v>
      </c>
      <c r="D272" s="1">
        <v>46210</v>
      </c>
      <c r="E272" s="1">
        <v>46214</v>
      </c>
      <c r="F272" t="s">
        <v>174</v>
      </c>
    </row>
    <row r="273" spans="1:6">
      <c r="A273" t="s">
        <v>442</v>
      </c>
      <c r="B273" t="s">
        <v>19</v>
      </c>
      <c r="C273" t="s">
        <v>105</v>
      </c>
      <c r="D273" s="1">
        <v>46170</v>
      </c>
      <c r="E273" s="1">
        <v>46174</v>
      </c>
      <c r="F273" t="s">
        <v>176</v>
      </c>
    </row>
    <row r="274" spans="1:6">
      <c r="A274" t="s">
        <v>443</v>
      </c>
      <c r="B274" t="s">
        <v>32</v>
      </c>
      <c r="C274" t="s">
        <v>114</v>
      </c>
      <c r="D274" s="1">
        <v>46306</v>
      </c>
      <c r="E274" s="1">
        <v>46310</v>
      </c>
      <c r="F274" t="s">
        <v>169</v>
      </c>
    </row>
    <row r="275" spans="1:6">
      <c r="A275" t="s">
        <v>444</v>
      </c>
      <c r="B275" t="s">
        <v>62</v>
      </c>
      <c r="C275" t="s">
        <v>144</v>
      </c>
      <c r="D275" s="1">
        <v>46297</v>
      </c>
      <c r="E275" s="1">
        <v>46298</v>
      </c>
      <c r="F275" t="s">
        <v>169</v>
      </c>
    </row>
    <row r="276" spans="1:6">
      <c r="A276" t="s">
        <v>445</v>
      </c>
      <c r="B276" t="s">
        <v>58</v>
      </c>
      <c r="C276" t="s">
        <v>161</v>
      </c>
      <c r="D276" s="1">
        <v>46313</v>
      </c>
      <c r="E276" s="1">
        <v>46314</v>
      </c>
      <c r="F276" t="s">
        <v>176</v>
      </c>
    </row>
    <row r="277" spans="1:6">
      <c r="A277" t="s">
        <v>446</v>
      </c>
      <c r="B277" t="s">
        <v>58</v>
      </c>
      <c r="C277" t="s">
        <v>155</v>
      </c>
      <c r="D277" s="1">
        <v>46325</v>
      </c>
      <c r="E277" s="1">
        <v>46329</v>
      </c>
      <c r="F277" t="s">
        <v>174</v>
      </c>
    </row>
    <row r="278" spans="1:6">
      <c r="A278" t="s">
        <v>447</v>
      </c>
      <c r="B278" t="s">
        <v>76</v>
      </c>
      <c r="C278" t="s">
        <v>124</v>
      </c>
      <c r="D278" s="1">
        <v>46215</v>
      </c>
      <c r="E278" s="1">
        <v>46217</v>
      </c>
      <c r="F278" t="s">
        <v>174</v>
      </c>
    </row>
    <row r="279" spans="1:6">
      <c r="A279" t="s">
        <v>448</v>
      </c>
      <c r="B279" t="s">
        <v>40</v>
      </c>
      <c r="C279" t="s">
        <v>155</v>
      </c>
      <c r="D279" s="1">
        <v>46196</v>
      </c>
      <c r="E279" s="1">
        <v>46197</v>
      </c>
      <c r="F279" t="s">
        <v>174</v>
      </c>
    </row>
    <row r="280" spans="1:6">
      <c r="A280" t="s">
        <v>449</v>
      </c>
      <c r="B280" t="s">
        <v>14</v>
      </c>
      <c r="C280" t="s">
        <v>94</v>
      </c>
      <c r="D280" s="1">
        <v>46224</v>
      </c>
      <c r="E280" s="1">
        <v>46227</v>
      </c>
      <c r="F280" t="s">
        <v>174</v>
      </c>
    </row>
    <row r="281" spans="1:6">
      <c r="A281" t="s">
        <v>450</v>
      </c>
      <c r="B281" t="s">
        <v>41</v>
      </c>
      <c r="C281" t="s">
        <v>161</v>
      </c>
      <c r="D281" s="1">
        <v>46148</v>
      </c>
      <c r="E281" s="1">
        <v>46153</v>
      </c>
      <c r="F281" t="s">
        <v>169</v>
      </c>
    </row>
    <row r="282" spans="1:6">
      <c r="A282" t="s">
        <v>451</v>
      </c>
      <c r="B282" t="s">
        <v>78</v>
      </c>
      <c r="C282" t="s">
        <v>148</v>
      </c>
      <c r="D282" s="1">
        <v>46266</v>
      </c>
      <c r="E282" s="1">
        <v>46267</v>
      </c>
      <c r="F282" t="s">
        <v>174</v>
      </c>
    </row>
    <row r="283" spans="1:6">
      <c r="A283" t="s">
        <v>452</v>
      </c>
      <c r="B283" t="s">
        <v>57</v>
      </c>
      <c r="C283" t="s">
        <v>151</v>
      </c>
      <c r="D283" s="1">
        <v>46223</v>
      </c>
      <c r="E283" s="1">
        <v>46224</v>
      </c>
      <c r="F283" t="s">
        <v>169</v>
      </c>
    </row>
    <row r="284" spans="1:6">
      <c r="A284" t="s">
        <v>453</v>
      </c>
      <c r="B284" t="s">
        <v>71</v>
      </c>
      <c r="C284" t="s">
        <v>141</v>
      </c>
      <c r="D284" s="1">
        <v>46300</v>
      </c>
      <c r="E284" s="1">
        <v>46301</v>
      </c>
      <c r="F284" t="s">
        <v>176</v>
      </c>
    </row>
    <row r="285" spans="1:6">
      <c r="A285" t="s">
        <v>454</v>
      </c>
      <c r="B285" t="s">
        <v>41</v>
      </c>
      <c r="C285" t="s">
        <v>136</v>
      </c>
      <c r="D285" s="1">
        <v>46333</v>
      </c>
      <c r="E285" s="1">
        <v>46337</v>
      </c>
      <c r="F285" t="s">
        <v>169</v>
      </c>
    </row>
    <row r="286" spans="1:6">
      <c r="A286" t="s">
        <v>455</v>
      </c>
      <c r="B286" t="s">
        <v>14</v>
      </c>
      <c r="C286" t="s">
        <v>118</v>
      </c>
      <c r="D286" s="1">
        <v>46302</v>
      </c>
      <c r="E286" s="1">
        <v>46307</v>
      </c>
      <c r="F286" t="s">
        <v>169</v>
      </c>
    </row>
    <row r="287" spans="1:6">
      <c r="A287" t="s">
        <v>456</v>
      </c>
      <c r="B287" t="s">
        <v>27</v>
      </c>
      <c r="C287" t="s">
        <v>155</v>
      </c>
      <c r="D287" s="1">
        <v>46278</v>
      </c>
      <c r="E287" s="1">
        <v>46279</v>
      </c>
      <c r="F287" t="s">
        <v>174</v>
      </c>
    </row>
    <row r="288" spans="1:6">
      <c r="A288" t="s">
        <v>457</v>
      </c>
      <c r="B288" t="s">
        <v>47</v>
      </c>
      <c r="C288" t="s">
        <v>141</v>
      </c>
      <c r="D288" s="1">
        <v>46038</v>
      </c>
      <c r="E288" s="1">
        <v>46040</v>
      </c>
      <c r="F288" t="s">
        <v>169</v>
      </c>
    </row>
    <row r="289" spans="1:6">
      <c r="A289" t="s">
        <v>458</v>
      </c>
      <c r="B289" t="s">
        <v>62</v>
      </c>
      <c r="C289" t="s">
        <v>151</v>
      </c>
      <c r="D289" s="1">
        <v>46206</v>
      </c>
      <c r="E289" s="1">
        <v>46208</v>
      </c>
      <c r="F289" t="s">
        <v>169</v>
      </c>
    </row>
    <row r="290" spans="1:6">
      <c r="A290" t="s">
        <v>459</v>
      </c>
      <c r="B290" t="s">
        <v>17</v>
      </c>
      <c r="C290" t="s">
        <v>94</v>
      </c>
      <c r="D290" s="1">
        <v>46142</v>
      </c>
      <c r="E290" s="1">
        <v>46147</v>
      </c>
      <c r="F290" t="s">
        <v>176</v>
      </c>
    </row>
    <row r="291" spans="1:6">
      <c r="A291" t="s">
        <v>460</v>
      </c>
      <c r="B291" t="s">
        <v>51</v>
      </c>
      <c r="C291" t="s">
        <v>88</v>
      </c>
      <c r="D291" s="1">
        <v>46260</v>
      </c>
      <c r="E291" s="1">
        <v>46262</v>
      </c>
      <c r="F291" t="s">
        <v>169</v>
      </c>
    </row>
    <row r="292" spans="1:6">
      <c r="A292" t="s">
        <v>461</v>
      </c>
      <c r="B292" t="s">
        <v>6</v>
      </c>
      <c r="C292" t="s">
        <v>88</v>
      </c>
      <c r="D292" s="1">
        <v>46213</v>
      </c>
      <c r="E292" s="1">
        <v>46216</v>
      </c>
      <c r="F292" t="s">
        <v>169</v>
      </c>
    </row>
    <row r="293" spans="1:6">
      <c r="A293" t="s">
        <v>462</v>
      </c>
      <c r="B293" t="s">
        <v>19</v>
      </c>
      <c r="C293" t="s">
        <v>161</v>
      </c>
      <c r="D293" s="1">
        <v>46261</v>
      </c>
      <c r="E293" s="1">
        <v>46264</v>
      </c>
      <c r="F293" t="s">
        <v>174</v>
      </c>
    </row>
    <row r="294" spans="1:6">
      <c r="A294" t="s">
        <v>463</v>
      </c>
      <c r="B294" t="s">
        <v>71</v>
      </c>
      <c r="C294" t="s">
        <v>110</v>
      </c>
      <c r="D294" s="1">
        <v>46213</v>
      </c>
      <c r="E294" s="1">
        <v>46216</v>
      </c>
      <c r="F294" t="s">
        <v>176</v>
      </c>
    </row>
    <row r="295" spans="1:6">
      <c r="A295" t="s">
        <v>464</v>
      </c>
      <c r="B295" t="s">
        <v>78</v>
      </c>
      <c r="C295" t="s">
        <v>94</v>
      </c>
      <c r="D295" s="1">
        <v>46088</v>
      </c>
      <c r="E295" s="1">
        <v>46091</v>
      </c>
      <c r="F295" t="s">
        <v>174</v>
      </c>
    </row>
    <row r="296" spans="1:6">
      <c r="A296" t="s">
        <v>465</v>
      </c>
      <c r="B296" t="s">
        <v>53</v>
      </c>
      <c r="C296" t="s">
        <v>100</v>
      </c>
      <c r="D296" s="1">
        <v>46149</v>
      </c>
      <c r="E296" s="1">
        <v>46151</v>
      </c>
      <c r="F296" t="s">
        <v>176</v>
      </c>
    </row>
    <row r="297" spans="1:6">
      <c r="A297" t="s">
        <v>466</v>
      </c>
      <c r="B297" t="s">
        <v>62</v>
      </c>
      <c r="C297" t="s">
        <v>129</v>
      </c>
      <c r="D297" s="1">
        <v>46320</v>
      </c>
      <c r="E297" s="1">
        <v>46322</v>
      </c>
      <c r="F297" t="s">
        <v>176</v>
      </c>
    </row>
    <row r="298" spans="1:6">
      <c r="A298" t="s">
        <v>467</v>
      </c>
      <c r="B298" t="s">
        <v>40</v>
      </c>
      <c r="C298" t="s">
        <v>141</v>
      </c>
      <c r="D298" s="1">
        <v>46293</v>
      </c>
      <c r="E298" s="1">
        <v>46294</v>
      </c>
      <c r="F298" t="s">
        <v>176</v>
      </c>
    </row>
    <row r="299" spans="1:6">
      <c r="A299" t="s">
        <v>468</v>
      </c>
      <c r="B299" t="s">
        <v>36</v>
      </c>
      <c r="C299" t="s">
        <v>148</v>
      </c>
      <c r="D299" s="1">
        <v>46307</v>
      </c>
      <c r="E299" s="1">
        <v>46308</v>
      </c>
      <c r="F299" t="s">
        <v>169</v>
      </c>
    </row>
    <row r="300" spans="1:6">
      <c r="A300" t="s">
        <v>469</v>
      </c>
      <c r="B300" t="s">
        <v>78</v>
      </c>
      <c r="C300" t="s">
        <v>151</v>
      </c>
      <c r="D300" s="1">
        <v>46264</v>
      </c>
      <c r="E300" s="1">
        <v>46265</v>
      </c>
      <c r="F300" t="s">
        <v>169</v>
      </c>
    </row>
    <row r="301" spans="1:6">
      <c r="A301" t="s">
        <v>470</v>
      </c>
      <c r="B301" t="s">
        <v>58</v>
      </c>
      <c r="C301" t="s">
        <v>88</v>
      </c>
      <c r="D301" s="1">
        <v>46027</v>
      </c>
      <c r="E301" s="1">
        <v>46032</v>
      </c>
      <c r="F301" t="s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01"/>
  <sheetViews>
    <sheetView workbookViewId="0">
      <selection activeCell="D16" sqref="D16"/>
    </sheetView>
  </sheetViews>
  <sheetFormatPr defaultRowHeight="14.4"/>
  <cols>
    <col min="1" max="1" width="10.77734375" customWidth="1"/>
    <col min="2" max="2" width="10.21875" customWidth="1"/>
    <col min="3" max="3" width="25.33203125" customWidth="1"/>
    <col min="4" max="4" width="11.109375" customWidth="1"/>
  </cols>
  <sheetData>
    <row r="1" spans="1:5">
      <c r="A1" t="s">
        <v>471</v>
      </c>
      <c r="B1" t="s">
        <v>0</v>
      </c>
      <c r="C1" t="s">
        <v>472</v>
      </c>
      <c r="D1" t="s">
        <v>473</v>
      </c>
      <c r="E1" t="s">
        <v>474</v>
      </c>
    </row>
    <row r="2" spans="1:5">
      <c r="A2" t="s">
        <v>475</v>
      </c>
      <c r="B2" t="s">
        <v>74</v>
      </c>
      <c r="C2" t="s">
        <v>476</v>
      </c>
      <c r="D2" t="s">
        <v>137</v>
      </c>
      <c r="E2">
        <v>2023</v>
      </c>
    </row>
    <row r="3" spans="1:5">
      <c r="A3" t="s">
        <v>477</v>
      </c>
      <c r="B3" t="s">
        <v>79</v>
      </c>
      <c r="C3" t="s">
        <v>478</v>
      </c>
      <c r="D3" t="s">
        <v>137</v>
      </c>
      <c r="E3">
        <v>2024</v>
      </c>
    </row>
    <row r="4" spans="1:5">
      <c r="A4" t="s">
        <v>479</v>
      </c>
      <c r="B4" t="s">
        <v>64</v>
      </c>
      <c r="C4" t="s">
        <v>480</v>
      </c>
      <c r="D4" t="s">
        <v>130</v>
      </c>
      <c r="E4">
        <v>2024</v>
      </c>
    </row>
    <row r="5" spans="1:5">
      <c r="A5" t="s">
        <v>481</v>
      </c>
      <c r="B5" t="s">
        <v>59</v>
      </c>
      <c r="C5" t="s">
        <v>480</v>
      </c>
      <c r="D5" t="s">
        <v>137</v>
      </c>
      <c r="E5">
        <v>2026</v>
      </c>
    </row>
    <row r="6" spans="1:5">
      <c r="A6" t="s">
        <v>482</v>
      </c>
      <c r="B6" t="s">
        <v>59</v>
      </c>
      <c r="C6" t="s">
        <v>480</v>
      </c>
      <c r="D6" t="s">
        <v>149</v>
      </c>
      <c r="E6">
        <v>2022</v>
      </c>
    </row>
    <row r="7" spans="1:5">
      <c r="A7" t="s">
        <v>483</v>
      </c>
      <c r="B7" t="s">
        <v>78</v>
      </c>
      <c r="C7" t="s">
        <v>478</v>
      </c>
      <c r="D7" t="s">
        <v>137</v>
      </c>
      <c r="E7">
        <v>2024</v>
      </c>
    </row>
    <row r="8" spans="1:5">
      <c r="A8" t="s">
        <v>484</v>
      </c>
      <c r="B8" t="s">
        <v>58</v>
      </c>
      <c r="C8" t="s">
        <v>485</v>
      </c>
      <c r="D8" t="s">
        <v>130</v>
      </c>
      <c r="E8">
        <v>2024</v>
      </c>
    </row>
    <row r="9" spans="1:5">
      <c r="A9" t="s">
        <v>486</v>
      </c>
      <c r="B9" t="s">
        <v>34</v>
      </c>
      <c r="C9" t="s">
        <v>480</v>
      </c>
      <c r="D9" t="s">
        <v>130</v>
      </c>
      <c r="E9">
        <v>2025</v>
      </c>
    </row>
    <row r="10" spans="1:5">
      <c r="A10" t="s">
        <v>487</v>
      </c>
      <c r="B10" t="s">
        <v>25</v>
      </c>
      <c r="C10" t="s">
        <v>488</v>
      </c>
      <c r="D10" t="s">
        <v>145</v>
      </c>
      <c r="E10">
        <v>2022</v>
      </c>
    </row>
    <row r="11" spans="1:5">
      <c r="A11" t="s">
        <v>489</v>
      </c>
      <c r="B11" t="s">
        <v>47</v>
      </c>
      <c r="C11" t="s">
        <v>485</v>
      </c>
      <c r="D11" t="s">
        <v>142</v>
      </c>
      <c r="E11">
        <v>2022</v>
      </c>
    </row>
    <row r="12" spans="1:5">
      <c r="A12" t="s">
        <v>490</v>
      </c>
      <c r="B12" t="s">
        <v>45</v>
      </c>
      <c r="C12" t="s">
        <v>488</v>
      </c>
      <c r="D12" t="s">
        <v>137</v>
      </c>
      <c r="E12">
        <v>2024</v>
      </c>
    </row>
    <row r="13" spans="1:5">
      <c r="A13" t="s">
        <v>491</v>
      </c>
      <c r="B13" t="s">
        <v>32</v>
      </c>
      <c r="C13" t="s">
        <v>492</v>
      </c>
      <c r="D13" t="s">
        <v>130</v>
      </c>
      <c r="E13">
        <v>2022</v>
      </c>
    </row>
    <row r="14" spans="1:5">
      <c r="A14" t="s">
        <v>493</v>
      </c>
      <c r="B14" t="s">
        <v>43</v>
      </c>
      <c r="C14" t="s">
        <v>492</v>
      </c>
      <c r="D14" t="s">
        <v>145</v>
      </c>
      <c r="E14">
        <v>2025</v>
      </c>
    </row>
    <row r="15" spans="1:5">
      <c r="A15" t="s">
        <v>494</v>
      </c>
      <c r="B15" t="s">
        <v>40</v>
      </c>
      <c r="C15" t="s">
        <v>478</v>
      </c>
      <c r="D15" t="s">
        <v>149</v>
      </c>
      <c r="E15">
        <v>2024</v>
      </c>
    </row>
    <row r="16" spans="1:5">
      <c r="A16" t="s">
        <v>495</v>
      </c>
      <c r="B16" t="s">
        <v>53</v>
      </c>
      <c r="C16" t="s">
        <v>480</v>
      </c>
      <c r="D16" t="s">
        <v>152</v>
      </c>
      <c r="E16">
        <v>2026</v>
      </c>
    </row>
    <row r="17" spans="1:5">
      <c r="A17" t="s">
        <v>496</v>
      </c>
      <c r="B17" t="s">
        <v>71</v>
      </c>
      <c r="C17" t="s">
        <v>478</v>
      </c>
      <c r="D17" t="s">
        <v>137</v>
      </c>
      <c r="E17">
        <v>2022</v>
      </c>
    </row>
    <row r="18" spans="1:5">
      <c r="A18" t="s">
        <v>497</v>
      </c>
      <c r="B18" t="s">
        <v>51</v>
      </c>
      <c r="C18" t="s">
        <v>488</v>
      </c>
      <c r="D18" t="s">
        <v>149</v>
      </c>
      <c r="E18">
        <v>2026</v>
      </c>
    </row>
    <row r="19" spans="1:5">
      <c r="A19" t="s">
        <v>498</v>
      </c>
      <c r="B19" t="s">
        <v>62</v>
      </c>
      <c r="C19" t="s">
        <v>488</v>
      </c>
      <c r="D19" t="s">
        <v>142</v>
      </c>
      <c r="E19">
        <v>2024</v>
      </c>
    </row>
    <row r="20" spans="1:5">
      <c r="A20" t="s">
        <v>499</v>
      </c>
      <c r="B20" t="s">
        <v>43</v>
      </c>
      <c r="C20" t="s">
        <v>488</v>
      </c>
      <c r="D20" t="s">
        <v>130</v>
      </c>
      <c r="E20">
        <v>2022</v>
      </c>
    </row>
    <row r="21" spans="1:5">
      <c r="A21" t="s">
        <v>500</v>
      </c>
      <c r="B21" t="s">
        <v>30</v>
      </c>
      <c r="C21" t="s">
        <v>492</v>
      </c>
      <c r="D21" t="s">
        <v>145</v>
      </c>
      <c r="E21">
        <v>2023</v>
      </c>
    </row>
    <row r="22" spans="1:5">
      <c r="A22" t="s">
        <v>501</v>
      </c>
      <c r="B22" t="s">
        <v>34</v>
      </c>
      <c r="C22" t="s">
        <v>488</v>
      </c>
      <c r="D22" t="s">
        <v>137</v>
      </c>
      <c r="E22">
        <v>2026</v>
      </c>
    </row>
    <row r="23" spans="1:5">
      <c r="A23" t="s">
        <v>502</v>
      </c>
      <c r="B23" t="s">
        <v>21</v>
      </c>
      <c r="C23" t="s">
        <v>478</v>
      </c>
      <c r="D23" t="s">
        <v>149</v>
      </c>
      <c r="E23">
        <v>2023</v>
      </c>
    </row>
    <row r="24" spans="1:5">
      <c r="A24" t="s">
        <v>503</v>
      </c>
      <c r="B24" t="s">
        <v>79</v>
      </c>
      <c r="C24" t="s">
        <v>488</v>
      </c>
      <c r="D24" t="s">
        <v>137</v>
      </c>
      <c r="E24">
        <v>2025</v>
      </c>
    </row>
    <row r="25" spans="1:5">
      <c r="A25" t="s">
        <v>504</v>
      </c>
      <c r="B25" t="s">
        <v>23</v>
      </c>
      <c r="C25" t="s">
        <v>488</v>
      </c>
      <c r="D25" t="s">
        <v>152</v>
      </c>
      <c r="E25">
        <v>2022</v>
      </c>
    </row>
    <row r="26" spans="1:5">
      <c r="A26" t="s">
        <v>505</v>
      </c>
      <c r="B26" t="s">
        <v>79</v>
      </c>
      <c r="C26" t="s">
        <v>485</v>
      </c>
      <c r="D26" t="s">
        <v>149</v>
      </c>
      <c r="E26">
        <v>2023</v>
      </c>
    </row>
    <row r="27" spans="1:5">
      <c r="A27" t="s">
        <v>506</v>
      </c>
      <c r="B27" t="s">
        <v>58</v>
      </c>
      <c r="C27" t="s">
        <v>478</v>
      </c>
      <c r="D27" t="s">
        <v>142</v>
      </c>
      <c r="E27">
        <v>2023</v>
      </c>
    </row>
    <row r="28" spans="1:5">
      <c r="A28" t="s">
        <v>507</v>
      </c>
      <c r="B28" t="s">
        <v>30</v>
      </c>
      <c r="C28" t="s">
        <v>492</v>
      </c>
      <c r="D28" t="s">
        <v>152</v>
      </c>
      <c r="E28">
        <v>2025</v>
      </c>
    </row>
    <row r="29" spans="1:5">
      <c r="A29" t="s">
        <v>508</v>
      </c>
      <c r="B29" t="s">
        <v>76</v>
      </c>
      <c r="C29" t="s">
        <v>488</v>
      </c>
      <c r="D29" t="s">
        <v>149</v>
      </c>
      <c r="E29">
        <v>2024</v>
      </c>
    </row>
    <row r="30" spans="1:5">
      <c r="A30" t="s">
        <v>509</v>
      </c>
      <c r="B30" t="s">
        <v>66</v>
      </c>
      <c r="C30" t="s">
        <v>476</v>
      </c>
      <c r="D30" t="s">
        <v>152</v>
      </c>
      <c r="E30">
        <v>2024</v>
      </c>
    </row>
    <row r="31" spans="1:5">
      <c r="A31" t="s">
        <v>510</v>
      </c>
      <c r="B31" t="s">
        <v>40</v>
      </c>
      <c r="C31" t="s">
        <v>476</v>
      </c>
      <c r="D31" t="s">
        <v>149</v>
      </c>
      <c r="E31">
        <v>2023</v>
      </c>
    </row>
    <row r="32" spans="1:5">
      <c r="A32" t="s">
        <v>511</v>
      </c>
      <c r="B32" t="s">
        <v>73</v>
      </c>
      <c r="C32" t="s">
        <v>485</v>
      </c>
      <c r="D32" t="s">
        <v>142</v>
      </c>
      <c r="E32">
        <v>2022</v>
      </c>
    </row>
    <row r="33" spans="1:5">
      <c r="A33" t="s">
        <v>512</v>
      </c>
      <c r="B33" t="s">
        <v>61</v>
      </c>
      <c r="C33" t="s">
        <v>476</v>
      </c>
      <c r="D33" t="s">
        <v>149</v>
      </c>
      <c r="E33">
        <v>2026</v>
      </c>
    </row>
    <row r="34" spans="1:5">
      <c r="A34" t="s">
        <v>513</v>
      </c>
      <c r="B34" t="s">
        <v>66</v>
      </c>
      <c r="C34" t="s">
        <v>485</v>
      </c>
      <c r="D34" t="s">
        <v>137</v>
      </c>
      <c r="E34">
        <v>2025</v>
      </c>
    </row>
    <row r="35" spans="1:5">
      <c r="A35" t="s">
        <v>514</v>
      </c>
      <c r="B35" t="s">
        <v>47</v>
      </c>
      <c r="C35" t="s">
        <v>485</v>
      </c>
      <c r="D35" t="s">
        <v>142</v>
      </c>
      <c r="E35">
        <v>2025</v>
      </c>
    </row>
    <row r="36" spans="1:5">
      <c r="A36" t="s">
        <v>515</v>
      </c>
      <c r="B36" t="s">
        <v>32</v>
      </c>
      <c r="C36" t="s">
        <v>485</v>
      </c>
      <c r="D36" t="s">
        <v>149</v>
      </c>
      <c r="E36">
        <v>2026</v>
      </c>
    </row>
    <row r="37" spans="1:5">
      <c r="A37" t="s">
        <v>516</v>
      </c>
      <c r="B37" t="s">
        <v>53</v>
      </c>
      <c r="C37" t="s">
        <v>476</v>
      </c>
      <c r="D37" t="s">
        <v>152</v>
      </c>
      <c r="E37">
        <v>2025</v>
      </c>
    </row>
    <row r="38" spans="1:5">
      <c r="A38" t="s">
        <v>517</v>
      </c>
      <c r="B38" t="s">
        <v>30</v>
      </c>
      <c r="C38" t="s">
        <v>485</v>
      </c>
      <c r="D38" t="s">
        <v>145</v>
      </c>
      <c r="E38">
        <v>2026</v>
      </c>
    </row>
    <row r="39" spans="1:5">
      <c r="A39" t="s">
        <v>518</v>
      </c>
      <c r="B39" t="s">
        <v>23</v>
      </c>
      <c r="C39" t="s">
        <v>478</v>
      </c>
      <c r="D39" t="s">
        <v>152</v>
      </c>
      <c r="E39">
        <v>2023</v>
      </c>
    </row>
    <row r="40" spans="1:5">
      <c r="A40" t="s">
        <v>519</v>
      </c>
      <c r="B40" t="s">
        <v>14</v>
      </c>
      <c r="C40" t="s">
        <v>488</v>
      </c>
      <c r="D40" t="s">
        <v>142</v>
      </c>
      <c r="E40">
        <v>2022</v>
      </c>
    </row>
    <row r="41" spans="1:5">
      <c r="A41" t="s">
        <v>520</v>
      </c>
      <c r="B41" t="s">
        <v>74</v>
      </c>
      <c r="C41" t="s">
        <v>488</v>
      </c>
      <c r="D41" t="s">
        <v>130</v>
      </c>
      <c r="E41">
        <v>2024</v>
      </c>
    </row>
    <row r="42" spans="1:5">
      <c r="A42" t="s">
        <v>521</v>
      </c>
      <c r="B42" t="s">
        <v>45</v>
      </c>
      <c r="C42" t="s">
        <v>476</v>
      </c>
      <c r="D42" t="s">
        <v>149</v>
      </c>
      <c r="E42">
        <v>2023</v>
      </c>
    </row>
    <row r="43" spans="1:5">
      <c r="A43" t="s">
        <v>522</v>
      </c>
      <c r="B43" t="s">
        <v>17</v>
      </c>
      <c r="C43" t="s">
        <v>478</v>
      </c>
      <c r="D43" t="s">
        <v>145</v>
      </c>
      <c r="E43">
        <v>2025</v>
      </c>
    </row>
    <row r="44" spans="1:5">
      <c r="A44" t="s">
        <v>523</v>
      </c>
      <c r="B44" t="s">
        <v>59</v>
      </c>
      <c r="C44" t="s">
        <v>485</v>
      </c>
      <c r="D44" t="s">
        <v>130</v>
      </c>
      <c r="E44">
        <v>2022</v>
      </c>
    </row>
    <row r="45" spans="1:5">
      <c r="A45" t="s">
        <v>524</v>
      </c>
      <c r="B45" t="s">
        <v>51</v>
      </c>
      <c r="C45" t="s">
        <v>480</v>
      </c>
      <c r="D45" t="s">
        <v>130</v>
      </c>
      <c r="E45">
        <v>2023</v>
      </c>
    </row>
    <row r="46" spans="1:5">
      <c r="A46" t="s">
        <v>525</v>
      </c>
      <c r="B46" t="s">
        <v>57</v>
      </c>
      <c r="C46" t="s">
        <v>480</v>
      </c>
      <c r="D46" t="s">
        <v>130</v>
      </c>
      <c r="E46">
        <v>2024</v>
      </c>
    </row>
    <row r="47" spans="1:5">
      <c r="A47" t="s">
        <v>526</v>
      </c>
      <c r="B47" t="s">
        <v>59</v>
      </c>
      <c r="C47" t="s">
        <v>488</v>
      </c>
      <c r="D47" t="s">
        <v>152</v>
      </c>
      <c r="E47">
        <v>2022</v>
      </c>
    </row>
    <row r="48" spans="1:5">
      <c r="A48" t="s">
        <v>527</v>
      </c>
      <c r="B48" t="s">
        <v>53</v>
      </c>
      <c r="C48" t="s">
        <v>478</v>
      </c>
      <c r="D48" t="s">
        <v>145</v>
      </c>
      <c r="E48">
        <v>2024</v>
      </c>
    </row>
    <row r="49" spans="1:5">
      <c r="A49" t="s">
        <v>528</v>
      </c>
      <c r="B49" t="s">
        <v>36</v>
      </c>
      <c r="C49" t="s">
        <v>478</v>
      </c>
      <c r="D49" t="s">
        <v>145</v>
      </c>
      <c r="E49">
        <v>2025</v>
      </c>
    </row>
    <row r="50" spans="1:5">
      <c r="A50" t="s">
        <v>529</v>
      </c>
      <c r="B50" t="s">
        <v>32</v>
      </c>
      <c r="C50" t="s">
        <v>476</v>
      </c>
      <c r="D50" t="s">
        <v>152</v>
      </c>
      <c r="E50">
        <v>2026</v>
      </c>
    </row>
    <row r="51" spans="1:5">
      <c r="A51" t="s">
        <v>530</v>
      </c>
      <c r="B51" t="s">
        <v>41</v>
      </c>
      <c r="C51" t="s">
        <v>480</v>
      </c>
      <c r="D51" t="s">
        <v>130</v>
      </c>
      <c r="E51">
        <v>2026</v>
      </c>
    </row>
    <row r="52" spans="1:5">
      <c r="A52" t="s">
        <v>531</v>
      </c>
      <c r="B52" t="s">
        <v>73</v>
      </c>
      <c r="C52" t="s">
        <v>480</v>
      </c>
      <c r="D52" t="s">
        <v>145</v>
      </c>
      <c r="E52">
        <v>2024</v>
      </c>
    </row>
    <row r="53" spans="1:5">
      <c r="A53" t="s">
        <v>532</v>
      </c>
      <c r="B53" t="s">
        <v>54</v>
      </c>
      <c r="C53" t="s">
        <v>492</v>
      </c>
      <c r="D53" t="s">
        <v>142</v>
      </c>
      <c r="E53">
        <v>2025</v>
      </c>
    </row>
    <row r="54" spans="1:5">
      <c r="A54" t="s">
        <v>533</v>
      </c>
      <c r="B54" t="s">
        <v>34</v>
      </c>
      <c r="C54" t="s">
        <v>485</v>
      </c>
      <c r="D54" t="s">
        <v>142</v>
      </c>
      <c r="E54">
        <v>2026</v>
      </c>
    </row>
    <row r="55" spans="1:5">
      <c r="A55" t="s">
        <v>534</v>
      </c>
      <c r="B55" t="s">
        <v>34</v>
      </c>
      <c r="C55" t="s">
        <v>488</v>
      </c>
      <c r="D55" t="s">
        <v>149</v>
      </c>
      <c r="E55">
        <v>2022</v>
      </c>
    </row>
    <row r="56" spans="1:5">
      <c r="A56" t="s">
        <v>535</v>
      </c>
      <c r="B56" t="s">
        <v>59</v>
      </c>
      <c r="C56" t="s">
        <v>485</v>
      </c>
      <c r="D56" t="s">
        <v>137</v>
      </c>
      <c r="E56">
        <v>2026</v>
      </c>
    </row>
    <row r="57" spans="1:5">
      <c r="A57" t="s">
        <v>536</v>
      </c>
      <c r="B57" t="s">
        <v>76</v>
      </c>
      <c r="C57" t="s">
        <v>478</v>
      </c>
      <c r="D57" t="s">
        <v>142</v>
      </c>
      <c r="E57">
        <v>2023</v>
      </c>
    </row>
    <row r="58" spans="1:5">
      <c r="A58" t="s">
        <v>537</v>
      </c>
      <c r="B58" t="s">
        <v>47</v>
      </c>
      <c r="C58" t="s">
        <v>480</v>
      </c>
      <c r="D58" t="s">
        <v>130</v>
      </c>
      <c r="E58">
        <v>2023</v>
      </c>
    </row>
    <row r="59" spans="1:5">
      <c r="A59" t="s">
        <v>538</v>
      </c>
      <c r="B59" t="s">
        <v>19</v>
      </c>
      <c r="C59" t="s">
        <v>476</v>
      </c>
      <c r="D59" t="s">
        <v>152</v>
      </c>
      <c r="E59">
        <v>2024</v>
      </c>
    </row>
    <row r="60" spans="1:5">
      <c r="A60" t="s">
        <v>539</v>
      </c>
      <c r="B60" t="s">
        <v>6</v>
      </c>
      <c r="C60" t="s">
        <v>476</v>
      </c>
      <c r="D60" t="s">
        <v>142</v>
      </c>
      <c r="E60">
        <v>2023</v>
      </c>
    </row>
    <row r="61" spans="1:5">
      <c r="A61" t="s">
        <v>540</v>
      </c>
      <c r="B61" t="s">
        <v>19</v>
      </c>
      <c r="C61" t="s">
        <v>480</v>
      </c>
      <c r="D61" t="s">
        <v>145</v>
      </c>
      <c r="E61">
        <v>2023</v>
      </c>
    </row>
    <row r="62" spans="1:5">
      <c r="A62" t="s">
        <v>541</v>
      </c>
      <c r="B62" t="s">
        <v>62</v>
      </c>
      <c r="C62" t="s">
        <v>492</v>
      </c>
      <c r="D62" t="s">
        <v>130</v>
      </c>
      <c r="E62">
        <v>2025</v>
      </c>
    </row>
    <row r="63" spans="1:5">
      <c r="A63" t="s">
        <v>542</v>
      </c>
      <c r="B63" t="s">
        <v>17</v>
      </c>
      <c r="C63" t="s">
        <v>492</v>
      </c>
      <c r="D63" t="s">
        <v>145</v>
      </c>
      <c r="E63">
        <v>2025</v>
      </c>
    </row>
    <row r="64" spans="1:5">
      <c r="A64" t="s">
        <v>543</v>
      </c>
      <c r="B64" t="s">
        <v>41</v>
      </c>
      <c r="C64" t="s">
        <v>488</v>
      </c>
      <c r="D64" t="s">
        <v>145</v>
      </c>
      <c r="E64">
        <v>2025</v>
      </c>
    </row>
    <row r="65" spans="1:5">
      <c r="A65" t="s">
        <v>544</v>
      </c>
      <c r="B65" t="s">
        <v>14</v>
      </c>
      <c r="C65" t="s">
        <v>480</v>
      </c>
      <c r="D65" t="s">
        <v>142</v>
      </c>
      <c r="E65">
        <v>2026</v>
      </c>
    </row>
    <row r="66" spans="1:5">
      <c r="A66" t="s">
        <v>545</v>
      </c>
      <c r="B66" t="s">
        <v>79</v>
      </c>
      <c r="C66" t="s">
        <v>476</v>
      </c>
      <c r="D66" t="s">
        <v>142</v>
      </c>
      <c r="E66">
        <v>2023</v>
      </c>
    </row>
    <row r="67" spans="1:5">
      <c r="A67" t="s">
        <v>546</v>
      </c>
      <c r="B67" t="s">
        <v>28</v>
      </c>
      <c r="C67" t="s">
        <v>478</v>
      </c>
      <c r="D67" t="s">
        <v>137</v>
      </c>
      <c r="E67">
        <v>2025</v>
      </c>
    </row>
    <row r="68" spans="1:5">
      <c r="A68" t="s">
        <v>547</v>
      </c>
      <c r="B68" t="s">
        <v>30</v>
      </c>
      <c r="C68" t="s">
        <v>485</v>
      </c>
      <c r="D68" t="s">
        <v>145</v>
      </c>
      <c r="E68">
        <v>2023</v>
      </c>
    </row>
    <row r="69" spans="1:5">
      <c r="A69" t="s">
        <v>548</v>
      </c>
      <c r="B69" t="s">
        <v>10</v>
      </c>
      <c r="C69" t="s">
        <v>478</v>
      </c>
      <c r="D69" t="s">
        <v>137</v>
      </c>
      <c r="E69">
        <v>2022</v>
      </c>
    </row>
    <row r="70" spans="1:5">
      <c r="A70" t="s">
        <v>549</v>
      </c>
      <c r="B70" t="s">
        <v>59</v>
      </c>
      <c r="C70" t="s">
        <v>485</v>
      </c>
      <c r="D70" t="s">
        <v>130</v>
      </c>
      <c r="E70">
        <v>2023</v>
      </c>
    </row>
    <row r="71" spans="1:5">
      <c r="A71" t="s">
        <v>550</v>
      </c>
      <c r="B71" t="s">
        <v>74</v>
      </c>
      <c r="C71" t="s">
        <v>492</v>
      </c>
      <c r="D71" t="s">
        <v>149</v>
      </c>
      <c r="E71">
        <v>2025</v>
      </c>
    </row>
    <row r="72" spans="1:5">
      <c r="A72" t="s">
        <v>551</v>
      </c>
      <c r="B72" t="s">
        <v>64</v>
      </c>
      <c r="C72" t="s">
        <v>476</v>
      </c>
      <c r="D72" t="s">
        <v>149</v>
      </c>
      <c r="E72">
        <v>2024</v>
      </c>
    </row>
    <row r="73" spans="1:5">
      <c r="A73" t="s">
        <v>552</v>
      </c>
      <c r="B73" t="s">
        <v>38</v>
      </c>
      <c r="C73" t="s">
        <v>480</v>
      </c>
      <c r="D73" t="s">
        <v>142</v>
      </c>
      <c r="E73">
        <v>2023</v>
      </c>
    </row>
    <row r="74" spans="1:5">
      <c r="A74" t="s">
        <v>553</v>
      </c>
      <c r="B74" t="s">
        <v>32</v>
      </c>
      <c r="C74" t="s">
        <v>476</v>
      </c>
      <c r="D74" t="s">
        <v>145</v>
      </c>
      <c r="E74">
        <v>2023</v>
      </c>
    </row>
    <row r="75" spans="1:5">
      <c r="A75" t="s">
        <v>554</v>
      </c>
      <c r="B75" t="s">
        <v>49</v>
      </c>
      <c r="C75" t="s">
        <v>488</v>
      </c>
      <c r="D75" t="s">
        <v>152</v>
      </c>
      <c r="E75">
        <v>2022</v>
      </c>
    </row>
    <row r="76" spans="1:5">
      <c r="A76" t="s">
        <v>555</v>
      </c>
      <c r="B76" t="s">
        <v>21</v>
      </c>
      <c r="C76" t="s">
        <v>478</v>
      </c>
      <c r="D76" t="s">
        <v>137</v>
      </c>
      <c r="E76">
        <v>2022</v>
      </c>
    </row>
    <row r="77" spans="1:5">
      <c r="A77" t="s">
        <v>556</v>
      </c>
      <c r="B77" t="s">
        <v>79</v>
      </c>
      <c r="C77" t="s">
        <v>485</v>
      </c>
      <c r="D77" t="s">
        <v>149</v>
      </c>
      <c r="E77">
        <v>2025</v>
      </c>
    </row>
    <row r="78" spans="1:5">
      <c r="A78" t="s">
        <v>557</v>
      </c>
      <c r="B78" t="s">
        <v>34</v>
      </c>
      <c r="C78" t="s">
        <v>488</v>
      </c>
      <c r="D78" t="s">
        <v>137</v>
      </c>
      <c r="E78">
        <v>2025</v>
      </c>
    </row>
    <row r="79" spans="1:5">
      <c r="A79" t="s">
        <v>558</v>
      </c>
      <c r="B79" t="s">
        <v>69</v>
      </c>
      <c r="C79" t="s">
        <v>480</v>
      </c>
      <c r="D79" t="s">
        <v>130</v>
      </c>
      <c r="E79">
        <v>2026</v>
      </c>
    </row>
    <row r="80" spans="1:5">
      <c r="A80" t="s">
        <v>559</v>
      </c>
      <c r="B80" t="s">
        <v>10</v>
      </c>
      <c r="C80" t="s">
        <v>485</v>
      </c>
      <c r="D80" t="s">
        <v>145</v>
      </c>
      <c r="E80">
        <v>2024</v>
      </c>
    </row>
    <row r="81" spans="1:5">
      <c r="A81" t="s">
        <v>560</v>
      </c>
      <c r="B81" t="s">
        <v>10</v>
      </c>
      <c r="C81" t="s">
        <v>492</v>
      </c>
      <c r="D81" t="s">
        <v>142</v>
      </c>
      <c r="E81">
        <v>2024</v>
      </c>
    </row>
    <row r="82" spans="1:5">
      <c r="A82" t="s">
        <v>561</v>
      </c>
      <c r="B82" t="s">
        <v>68</v>
      </c>
      <c r="C82" t="s">
        <v>476</v>
      </c>
      <c r="D82" t="s">
        <v>130</v>
      </c>
      <c r="E82">
        <v>2022</v>
      </c>
    </row>
    <row r="83" spans="1:5">
      <c r="A83" t="s">
        <v>562</v>
      </c>
      <c r="B83" t="s">
        <v>45</v>
      </c>
      <c r="C83" t="s">
        <v>492</v>
      </c>
      <c r="D83" t="s">
        <v>142</v>
      </c>
      <c r="E83">
        <v>2026</v>
      </c>
    </row>
    <row r="84" spans="1:5">
      <c r="A84" t="s">
        <v>563</v>
      </c>
      <c r="B84" t="s">
        <v>6</v>
      </c>
      <c r="C84" t="s">
        <v>488</v>
      </c>
      <c r="D84" t="s">
        <v>130</v>
      </c>
      <c r="E84">
        <v>2024</v>
      </c>
    </row>
    <row r="85" spans="1:5">
      <c r="A85" t="s">
        <v>564</v>
      </c>
      <c r="B85" t="s">
        <v>54</v>
      </c>
      <c r="C85" t="s">
        <v>485</v>
      </c>
      <c r="D85" t="s">
        <v>152</v>
      </c>
      <c r="E85">
        <v>2026</v>
      </c>
    </row>
    <row r="86" spans="1:5">
      <c r="A86" t="s">
        <v>565</v>
      </c>
      <c r="B86" t="s">
        <v>38</v>
      </c>
      <c r="C86" t="s">
        <v>480</v>
      </c>
      <c r="D86" t="s">
        <v>152</v>
      </c>
      <c r="E86">
        <v>2025</v>
      </c>
    </row>
    <row r="87" spans="1:5">
      <c r="A87" t="s">
        <v>566</v>
      </c>
      <c r="B87" t="s">
        <v>54</v>
      </c>
      <c r="C87" t="s">
        <v>492</v>
      </c>
      <c r="D87" t="s">
        <v>130</v>
      </c>
      <c r="E87">
        <v>2024</v>
      </c>
    </row>
    <row r="88" spans="1:5">
      <c r="A88" t="s">
        <v>567</v>
      </c>
      <c r="B88" t="s">
        <v>45</v>
      </c>
      <c r="C88" t="s">
        <v>485</v>
      </c>
      <c r="D88" t="s">
        <v>137</v>
      </c>
      <c r="E88">
        <v>2025</v>
      </c>
    </row>
    <row r="89" spans="1:5">
      <c r="A89" t="s">
        <v>568</v>
      </c>
      <c r="B89" t="s">
        <v>73</v>
      </c>
      <c r="C89" t="s">
        <v>478</v>
      </c>
      <c r="D89" t="s">
        <v>142</v>
      </c>
      <c r="E89">
        <v>2023</v>
      </c>
    </row>
    <row r="90" spans="1:5">
      <c r="A90" t="s">
        <v>569</v>
      </c>
      <c r="B90" t="s">
        <v>55</v>
      </c>
      <c r="C90" t="s">
        <v>476</v>
      </c>
      <c r="D90" t="s">
        <v>152</v>
      </c>
      <c r="E90">
        <v>2022</v>
      </c>
    </row>
    <row r="91" spans="1:5">
      <c r="A91" t="s">
        <v>570</v>
      </c>
      <c r="B91" t="s">
        <v>68</v>
      </c>
      <c r="C91" t="s">
        <v>478</v>
      </c>
      <c r="D91" t="s">
        <v>152</v>
      </c>
      <c r="E91">
        <v>2022</v>
      </c>
    </row>
    <row r="92" spans="1:5">
      <c r="A92" t="s">
        <v>571</v>
      </c>
      <c r="B92" t="s">
        <v>53</v>
      </c>
      <c r="C92" t="s">
        <v>478</v>
      </c>
      <c r="D92" t="s">
        <v>152</v>
      </c>
      <c r="E92">
        <v>2025</v>
      </c>
    </row>
    <row r="93" spans="1:5">
      <c r="A93" t="s">
        <v>572</v>
      </c>
      <c r="B93" t="s">
        <v>54</v>
      </c>
      <c r="C93" t="s">
        <v>485</v>
      </c>
      <c r="D93" t="s">
        <v>149</v>
      </c>
      <c r="E93">
        <v>2026</v>
      </c>
    </row>
    <row r="94" spans="1:5">
      <c r="A94" t="s">
        <v>573</v>
      </c>
      <c r="B94" t="s">
        <v>76</v>
      </c>
      <c r="C94" t="s">
        <v>485</v>
      </c>
      <c r="D94" t="s">
        <v>149</v>
      </c>
      <c r="E94">
        <v>2022</v>
      </c>
    </row>
    <row r="95" spans="1:5">
      <c r="A95" t="s">
        <v>574</v>
      </c>
      <c r="B95" t="s">
        <v>61</v>
      </c>
      <c r="C95" t="s">
        <v>488</v>
      </c>
      <c r="D95" t="s">
        <v>145</v>
      </c>
      <c r="E95">
        <v>2023</v>
      </c>
    </row>
    <row r="96" spans="1:5">
      <c r="A96" t="s">
        <v>575</v>
      </c>
      <c r="B96" t="s">
        <v>74</v>
      </c>
      <c r="C96" t="s">
        <v>488</v>
      </c>
      <c r="D96" t="s">
        <v>137</v>
      </c>
      <c r="E96">
        <v>2024</v>
      </c>
    </row>
    <row r="97" spans="1:5">
      <c r="A97" t="s">
        <v>576</v>
      </c>
      <c r="B97" t="s">
        <v>45</v>
      </c>
      <c r="C97" t="s">
        <v>485</v>
      </c>
      <c r="D97" t="s">
        <v>130</v>
      </c>
      <c r="E97">
        <v>2026</v>
      </c>
    </row>
    <row r="98" spans="1:5">
      <c r="A98" t="s">
        <v>577</v>
      </c>
      <c r="B98" t="s">
        <v>25</v>
      </c>
      <c r="C98" t="s">
        <v>492</v>
      </c>
      <c r="D98" t="s">
        <v>142</v>
      </c>
      <c r="E98">
        <v>2025</v>
      </c>
    </row>
    <row r="99" spans="1:5">
      <c r="A99" t="s">
        <v>578</v>
      </c>
      <c r="B99" t="s">
        <v>28</v>
      </c>
      <c r="C99" t="s">
        <v>478</v>
      </c>
      <c r="D99" t="s">
        <v>145</v>
      </c>
      <c r="E99">
        <v>2025</v>
      </c>
    </row>
    <row r="100" spans="1:5">
      <c r="A100" t="s">
        <v>579</v>
      </c>
      <c r="B100" t="s">
        <v>6</v>
      </c>
      <c r="C100" t="s">
        <v>476</v>
      </c>
      <c r="D100" t="s">
        <v>137</v>
      </c>
      <c r="E100">
        <v>2022</v>
      </c>
    </row>
    <row r="101" spans="1:5">
      <c r="A101" t="s">
        <v>580</v>
      </c>
      <c r="B101" t="s">
        <v>45</v>
      </c>
      <c r="C101" t="s">
        <v>478</v>
      </c>
      <c r="D101" t="s">
        <v>149</v>
      </c>
      <c r="E101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9B80-E810-42A1-B5C1-FC132888AD0F}">
  <sheetPr codeName="Sheet5"/>
  <dimension ref="A1:B10"/>
  <sheetViews>
    <sheetView workbookViewId="0">
      <selection activeCell="G26" sqref="G26"/>
    </sheetView>
  </sheetViews>
  <sheetFormatPr defaultRowHeight="14.4"/>
  <cols>
    <col min="1" max="1" width="35.77734375" customWidth="1"/>
  </cols>
  <sheetData>
    <row r="1" spans="1:2" ht="19.95" customHeight="1">
      <c r="A1" s="14" t="s">
        <v>583</v>
      </c>
    </row>
    <row r="2" spans="1:2">
      <c r="A2" s="13"/>
    </row>
    <row r="3" spans="1:2" ht="19.95" customHeight="1">
      <c r="A3" s="5" t="s">
        <v>584</v>
      </c>
      <c r="B3" s="4">
        <f>COUNTA(Trainer_Master!A2:A41)</f>
        <v>40</v>
      </c>
    </row>
    <row r="4" spans="1:2" ht="19.95" customHeight="1">
      <c r="A4" s="6" t="s">
        <v>585</v>
      </c>
      <c r="B4" s="4">
        <f>COUNTA(Engagements!A2:A301)</f>
        <v>300</v>
      </c>
    </row>
    <row r="5" spans="1:2" ht="19.95" customHeight="1">
      <c r="A5" s="7" t="s">
        <v>586</v>
      </c>
      <c r="B5" s="4">
        <f>COUNTIF(Trainer_Master!H2:H41,"BUSY")</f>
        <v>37</v>
      </c>
    </row>
    <row r="6" spans="1:2" ht="19.95" customHeight="1">
      <c r="A6" s="8" t="s">
        <v>587</v>
      </c>
      <c r="B6" s="4">
        <f>COUNTIF(Trainer_Master!H2:H41,"UPCOMING")</f>
        <v>3</v>
      </c>
    </row>
    <row r="7" spans="1:2" ht="19.95" customHeight="1">
      <c r="A7" s="9" t="s">
        <v>588</v>
      </c>
      <c r="B7" s="4">
        <f>COUNTIF(Trainer_Master!H2:H41,"FREE")</f>
        <v>0</v>
      </c>
    </row>
    <row r="8" spans="1:2" ht="19.95" customHeight="1">
      <c r="A8" s="10" t="s">
        <v>169</v>
      </c>
      <c r="B8" s="4">
        <f>COUNTIFS(Engagements!F2:F301,"Completed")</f>
        <v>114</v>
      </c>
    </row>
    <row r="9" spans="1:2" ht="19.95" customHeight="1">
      <c r="A9" s="11" t="s">
        <v>589</v>
      </c>
      <c r="B9" s="4">
        <f>COUNTIFS(Organization_Master!C2:C17,"Corporate")</f>
        <v>8</v>
      </c>
    </row>
    <row r="10" spans="1:2" ht="19.95" customHeight="1">
      <c r="A10" s="12" t="s">
        <v>590</v>
      </c>
      <c r="B10" s="4">
        <f>COUNTIFS(Organization_Master!C2:C17,"University")</f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4941-B33A-4FC7-8231-A73705AD0445}">
  <sheetPr codeName="Sheet6">
    <pageSetUpPr autoPageBreaks="0"/>
  </sheetPr>
  <dimension ref="B1:S40"/>
  <sheetViews>
    <sheetView showGridLines="0" tabSelected="1" zoomScale="69" zoomScaleNormal="81" zoomScaleSheetLayoutView="59" workbookViewId="0">
      <selection activeCell="C8" sqref="C8"/>
    </sheetView>
  </sheetViews>
  <sheetFormatPr defaultRowHeight="14.4"/>
  <cols>
    <col min="1" max="1" width="12.77734375" customWidth="1"/>
    <col min="2" max="2" width="17" customWidth="1"/>
    <col min="3" max="6" width="12.77734375" customWidth="1"/>
    <col min="7" max="7" width="16.5546875" customWidth="1"/>
    <col min="8" max="8" width="12.77734375" customWidth="1"/>
    <col min="9" max="9" width="17" customWidth="1"/>
    <col min="10" max="10" width="12.77734375" customWidth="1"/>
    <col min="11" max="11" width="15.5546875" customWidth="1"/>
    <col min="12" max="12" width="12.77734375" customWidth="1"/>
    <col min="13" max="13" width="10" customWidth="1"/>
    <col min="14" max="17" width="12.77734375" customWidth="1"/>
  </cols>
  <sheetData>
    <row r="1" spans="2:19" ht="30" customHeight="1">
      <c r="B1" s="39" t="s">
        <v>591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2:19" ht="19.95" customHeight="1"/>
    <row r="3" spans="2:19" ht="30" customHeight="1">
      <c r="B3" s="41" t="s">
        <v>584</v>
      </c>
      <c r="C3" s="42"/>
      <c r="D3" s="63" t="s">
        <v>592</v>
      </c>
      <c r="E3" s="64"/>
      <c r="F3" s="53" t="s">
        <v>593</v>
      </c>
      <c r="G3" s="54"/>
      <c r="H3" s="47" t="s">
        <v>594</v>
      </c>
      <c r="I3" s="48"/>
      <c r="J3" s="45" t="s">
        <v>585</v>
      </c>
      <c r="K3" s="46"/>
      <c r="L3" s="65" t="s">
        <v>587</v>
      </c>
      <c r="M3" s="66"/>
      <c r="N3" s="55" t="s">
        <v>169</v>
      </c>
      <c r="O3" s="56"/>
      <c r="P3" s="49" t="s">
        <v>595</v>
      </c>
      <c r="Q3" s="50"/>
    </row>
    <row r="4" spans="2:19" ht="30" customHeight="1">
      <c r="B4" s="43">
        <f>SUMMARY!B3</f>
        <v>40</v>
      </c>
      <c r="C4" s="44"/>
      <c r="D4" s="44">
        <f>SUMMARY!B5</f>
        <v>37</v>
      </c>
      <c r="E4" s="44"/>
      <c r="F4" s="44">
        <f>SUMMARY!B7</f>
        <v>0</v>
      </c>
      <c r="G4" s="44"/>
      <c r="H4" s="44">
        <f>SUMMARY!B9</f>
        <v>8</v>
      </c>
      <c r="I4" s="44"/>
      <c r="J4" s="44">
        <f>SUMMARY!B4</f>
        <v>300</v>
      </c>
      <c r="K4" s="44"/>
      <c r="L4" s="44">
        <f>SUMMARY!B6</f>
        <v>3</v>
      </c>
      <c r="M4" s="44"/>
      <c r="N4" s="44">
        <f>SUMMARY!B8</f>
        <v>114</v>
      </c>
      <c r="O4" s="44"/>
      <c r="P4" s="51">
        <f>SUMMARY!B10</f>
        <v>8</v>
      </c>
      <c r="Q4" s="52"/>
    </row>
    <row r="5" spans="2:19" ht="19.95" customHeight="1">
      <c r="S5">
        <v>-12</v>
      </c>
    </row>
    <row r="6" spans="2:19" ht="19.95" customHeight="1"/>
    <row r="7" spans="2:19" ht="19.95" customHeight="1">
      <c r="B7" s="57" t="s">
        <v>596</v>
      </c>
      <c r="C7" s="58"/>
      <c r="D7" s="58"/>
      <c r="E7" s="59"/>
      <c r="G7" s="60" t="s">
        <v>602</v>
      </c>
      <c r="H7" s="61"/>
      <c r="I7" s="61"/>
      <c r="J7" s="62"/>
      <c r="L7" s="67" t="s">
        <v>615</v>
      </c>
      <c r="M7" s="68"/>
      <c r="N7" s="68"/>
      <c r="O7" s="68"/>
      <c r="P7" s="68"/>
      <c r="Q7" s="68"/>
      <c r="R7" s="68"/>
      <c r="S7" s="68"/>
    </row>
    <row r="8" spans="2:19" ht="19.95" customHeight="1">
      <c r="B8" s="20" t="s">
        <v>597</v>
      </c>
      <c r="C8" s="15" t="s">
        <v>24</v>
      </c>
      <c r="E8" s="21"/>
      <c r="G8" s="27" t="s">
        <v>603</v>
      </c>
      <c r="H8" s="19" t="s">
        <v>473</v>
      </c>
      <c r="I8" s="19" t="s">
        <v>474</v>
      </c>
      <c r="J8" s="21"/>
      <c r="L8" s="30" t="s">
        <v>611</v>
      </c>
      <c r="M8" s="30" t="s">
        <v>604</v>
      </c>
      <c r="N8" s="30" t="s">
        <v>605</v>
      </c>
      <c r="O8" s="30" t="s">
        <v>606</v>
      </c>
      <c r="P8" s="30" t="s">
        <v>607</v>
      </c>
      <c r="Q8" s="30" t="s">
        <v>608</v>
      </c>
      <c r="R8" s="30" t="s">
        <v>609</v>
      </c>
      <c r="S8" s="30" t="s">
        <v>610</v>
      </c>
    </row>
    <row r="9" spans="2:19" ht="19.95" customHeight="1">
      <c r="B9" s="22" t="s">
        <v>598</v>
      </c>
      <c r="C9" s="16" t="str">
        <f>IFERROR(INDEX(Trainer_Master!$A$2:$A$41,MATCH(C8,Trainer_Master!$B$2:$B$41,0)),"")</f>
        <v>T007</v>
      </c>
      <c r="E9" s="21"/>
      <c r="G9" s="28" t="str" cm="1">
        <f t="array" ref="G9">IFERROR(INDEX(Past_Projects!$C$2:$C$101,SMALL(IF(Past_Projects!$B$2:$B$101=$C$9,ROW(Past_Projects!$B$2:$B$101)-1),1)),"")</f>
        <v>Customer Segmentation</v>
      </c>
      <c r="H9" t="str" cm="1">
        <f t="array" ref="H9">IFERROR(INDEX(Past_Projects!$D$2:$D$101,SMALL(IF(Past_Projects!$B$2:$B$101=$C$9,ROW(Past_Projects!$B$2:$B$101)-1),1)),"")</f>
        <v>Cognizant</v>
      </c>
      <c r="I9" cm="1">
        <f t="array" ref="I9">IFERROR(INDEX(Past_Projects!$E$2:$E$101,SMALL(IF(Past_Projects!$B$2:$B$101=$C$9,ROW(Past_Projects!$B$2:$B$101)-1),1)),"")</f>
        <v>2022</v>
      </c>
      <c r="J9" s="21"/>
      <c r="L9" s="33">
        <v>46188</v>
      </c>
      <c r="M9" s="32">
        <v>15</v>
      </c>
      <c r="N9" s="32">
        <v>16</v>
      </c>
      <c r="O9" s="32">
        <v>17</v>
      </c>
      <c r="P9" s="31">
        <v>18</v>
      </c>
      <c r="Q9" s="31">
        <v>19</v>
      </c>
      <c r="R9" s="34">
        <v>20</v>
      </c>
      <c r="S9" s="31">
        <v>21</v>
      </c>
    </row>
    <row r="10" spans="2:19" ht="19.95" customHeight="1">
      <c r="B10" s="22" t="s">
        <v>599</v>
      </c>
      <c r="C10" s="16" t="str">
        <f>IFERROR(INDEX(Trainer_Master!$C$2:$C$41,MATCH(C8,Trainer_Master!$B$2:$B$41,0)),"")</f>
        <v>Excel VBA</v>
      </c>
      <c r="E10" s="21"/>
      <c r="G10" s="28" t="str" cm="1">
        <f t="array" ref="G10">IFERROR(INDEX(Past_Projects!$C$2:$C$101,SMALL(IF(Past_Projects!$B$2:$B$101=$C$9,ROW(Past_Projects!$B$2:$B$101)-1),2)),"")</f>
        <v>Supply Chain Analytics</v>
      </c>
      <c r="H10" t="str" cm="1">
        <f t="array" ref="H10">IFERROR(INDEX(Past_Projects!$D$2:$D$101,SMALL(IF(Past_Projects!$B$2:$B$101=$C$9,ROW(Past_Projects!$B$2:$B$101)-1),2)),"")</f>
        <v>Cognizant</v>
      </c>
      <c r="I10" cm="1">
        <f t="array" ref="I10">IFERROR(INDEX(Past_Projects!$E$2:$E$101,SMALL(IF(Past_Projects!$B$2:$B$101=$C$9,ROW(Past_Projects!$B$2:$B$101)-1),2)),"")</f>
        <v>2023</v>
      </c>
      <c r="J10" s="21"/>
      <c r="L10" s="33">
        <v>46195</v>
      </c>
      <c r="M10" s="31">
        <v>22</v>
      </c>
      <c r="N10" s="31">
        <v>23</v>
      </c>
      <c r="O10" s="31">
        <v>24</v>
      </c>
      <c r="P10" s="31">
        <v>25</v>
      </c>
      <c r="Q10" s="31">
        <v>26</v>
      </c>
      <c r="R10" s="31">
        <v>27</v>
      </c>
      <c r="S10" s="31">
        <v>28</v>
      </c>
    </row>
    <row r="11" spans="2:19" ht="19.95" customHeight="1">
      <c r="B11" s="22" t="s">
        <v>600</v>
      </c>
      <c r="C11" s="16" t="str">
        <f>IFERROR(INDEX(Trainer_Master!$D$2:$D$41,MATCH(C8,Trainer_Master!$B$2:$B$41,0)),"")</f>
        <v>Excel VBA</v>
      </c>
      <c r="E11" s="21"/>
      <c r="G11" s="29" t="str" cm="1">
        <f t="array" ref="G11">IFERROR(INDEX(Past_Projects!$C$2:$C$101,SMALL(IF(Past_Projects!$B$2:$B$101=$C$9,ROW(Past_Projects!$B$2:$B$101)-1),3)),"")</f>
        <v/>
      </c>
      <c r="H11" s="25" t="str" cm="1">
        <f t="array" ref="H11">IFERROR(INDEX(Past_Projects!$D$2:$D$101,SMALL(IF(Past_Projects!$B$2:$B$101=$C$9,ROW(Past_Projects!$B$2:$B$101)-1),3)),"")</f>
        <v/>
      </c>
      <c r="I11" s="25" t="str" cm="1">
        <f t="array" ref="I11">IFERROR(INDEX(Past_Projects!$E$2:$E$101,SMALL(IF(Past_Projects!$B$2:$B$101=$C$9,ROW(Past_Projects!$B$2:$B$101)-1),3)),"")</f>
        <v/>
      </c>
      <c r="L11" s="33">
        <v>46202</v>
      </c>
      <c r="M11" s="31">
        <v>29</v>
      </c>
      <c r="N11" s="31">
        <v>30</v>
      </c>
      <c r="O11" s="31">
        <v>1</v>
      </c>
      <c r="P11" s="31">
        <v>2</v>
      </c>
      <c r="Q11" s="31">
        <v>3</v>
      </c>
      <c r="R11" s="31">
        <v>4</v>
      </c>
      <c r="S11" s="31">
        <v>5</v>
      </c>
    </row>
    <row r="12" spans="2:19" ht="19.95" customHeight="1">
      <c r="B12" s="22" t="s">
        <v>601</v>
      </c>
      <c r="C12" s="17">
        <f>IFERROR(INDEX(Trainer_Master!$E$2:$E$41,MATCH(C8,Trainer_Master!$B$2:$B$41,0)),"")</f>
        <v>12</v>
      </c>
      <c r="E12" s="21"/>
      <c r="J12" s="26"/>
      <c r="L12" s="33">
        <v>46209</v>
      </c>
      <c r="M12" s="31">
        <v>6</v>
      </c>
      <c r="N12" s="31">
        <v>7</v>
      </c>
      <c r="O12" s="31">
        <v>8</v>
      </c>
      <c r="P12" s="31">
        <v>9</v>
      </c>
      <c r="Q12" s="31">
        <v>10</v>
      </c>
      <c r="R12" s="31">
        <v>11</v>
      </c>
      <c r="S12" s="31">
        <v>12</v>
      </c>
    </row>
    <row r="13" spans="2:19" ht="19.95" customHeight="1">
      <c r="B13" s="22" t="s">
        <v>5</v>
      </c>
      <c r="C13" s="18">
        <f>IFERROR(INDEX(Trainer_Master!$F$2:$F$41,MATCH(C8,Trainer_Master!$B$2:$B$41,0)),"")</f>
        <v>4.9000000000000004</v>
      </c>
      <c r="E13" s="21"/>
      <c r="L13" s="33">
        <v>46216</v>
      </c>
      <c r="M13" s="31">
        <v>13</v>
      </c>
      <c r="N13" s="31">
        <v>14</v>
      </c>
      <c r="O13" s="31">
        <v>15</v>
      </c>
      <c r="P13" s="31">
        <v>16</v>
      </c>
      <c r="Q13" s="31">
        <v>17</v>
      </c>
      <c r="R13" s="31">
        <v>18</v>
      </c>
      <c r="S13" s="31">
        <v>19</v>
      </c>
    </row>
    <row r="14" spans="2:19" ht="19.95" customHeight="1">
      <c r="B14" s="23" t="s">
        <v>582</v>
      </c>
      <c r="C14" s="24" t="str">
        <f>IFERROR(INDEX(Trainer_Master!$H$2:$H$41,MATCH(C8,Trainer_Master!$B$2:$B$41,0)),"")</f>
        <v>BUSY</v>
      </c>
      <c r="D14" s="25"/>
      <c r="E14" s="26"/>
      <c r="L14" s="33">
        <v>46223</v>
      </c>
      <c r="M14" s="31">
        <v>20</v>
      </c>
      <c r="N14" s="31">
        <v>21</v>
      </c>
      <c r="O14" s="31">
        <v>22</v>
      </c>
      <c r="P14" s="31">
        <v>23</v>
      </c>
      <c r="Q14" s="31">
        <v>24</v>
      </c>
      <c r="R14" s="31">
        <v>25</v>
      </c>
      <c r="S14" s="31">
        <v>26</v>
      </c>
    </row>
    <row r="15" spans="2:19" ht="19.95" customHeight="1">
      <c r="L15" s="33">
        <v>46230</v>
      </c>
      <c r="M15" s="31">
        <v>27</v>
      </c>
      <c r="N15" s="31">
        <v>28</v>
      </c>
      <c r="O15" s="31">
        <v>29</v>
      </c>
      <c r="P15" s="31">
        <v>30</v>
      </c>
      <c r="Q15" s="31">
        <v>31</v>
      </c>
      <c r="R15" s="31">
        <v>1</v>
      </c>
      <c r="S15" s="31">
        <v>2</v>
      </c>
    </row>
    <row r="16" spans="2:19" ht="19.95" customHeight="1">
      <c r="L16" s="33">
        <v>46237</v>
      </c>
      <c r="M16" s="31">
        <v>3</v>
      </c>
      <c r="N16" s="31">
        <v>4</v>
      </c>
      <c r="O16" s="31">
        <v>5</v>
      </c>
      <c r="P16" s="31">
        <v>6</v>
      </c>
      <c r="Q16" s="31">
        <v>7</v>
      </c>
      <c r="R16" s="31">
        <v>8</v>
      </c>
      <c r="S16" s="31">
        <v>9</v>
      </c>
    </row>
    <row r="17" spans="12:19" ht="19.95" customHeight="1">
      <c r="L17" s="33">
        <v>46244</v>
      </c>
      <c r="M17" s="31">
        <v>10</v>
      </c>
      <c r="N17" s="31">
        <v>11</v>
      </c>
      <c r="O17" s="31">
        <v>12</v>
      </c>
      <c r="P17" s="31">
        <v>13</v>
      </c>
      <c r="Q17" s="31">
        <v>14</v>
      </c>
      <c r="R17" s="31">
        <v>15</v>
      </c>
      <c r="S17" s="31">
        <v>16</v>
      </c>
    </row>
    <row r="18" spans="12:19" ht="19.95" customHeight="1">
      <c r="L18" s="33">
        <v>46251</v>
      </c>
      <c r="M18" s="31">
        <v>17</v>
      </c>
      <c r="N18" s="31">
        <v>18</v>
      </c>
      <c r="O18" s="31">
        <v>19</v>
      </c>
      <c r="P18" s="32">
        <v>20</v>
      </c>
      <c r="Q18" s="32">
        <v>21</v>
      </c>
      <c r="R18" s="32">
        <v>22</v>
      </c>
      <c r="S18" s="32">
        <v>23</v>
      </c>
    </row>
    <row r="19" spans="12:19" ht="19.95" customHeight="1">
      <c r="L19" s="33">
        <v>46258</v>
      </c>
      <c r="M19" s="32">
        <v>24</v>
      </c>
      <c r="N19" s="32">
        <v>25</v>
      </c>
      <c r="O19" s="32">
        <v>26</v>
      </c>
      <c r="P19" s="31">
        <v>27</v>
      </c>
      <c r="Q19" s="31">
        <v>28</v>
      </c>
      <c r="R19" s="31">
        <v>29</v>
      </c>
      <c r="S19" s="31">
        <v>30</v>
      </c>
    </row>
    <row r="20" spans="12:19" ht="19.95" customHeight="1">
      <c r="L20" s="33">
        <v>46265</v>
      </c>
      <c r="M20" s="31">
        <v>31</v>
      </c>
      <c r="N20" s="31">
        <v>1</v>
      </c>
      <c r="O20" s="31">
        <v>2</v>
      </c>
      <c r="P20" s="31">
        <v>3</v>
      </c>
      <c r="Q20" s="31">
        <v>4</v>
      </c>
      <c r="R20" s="31">
        <v>5</v>
      </c>
      <c r="S20" s="31">
        <v>6</v>
      </c>
    </row>
    <row r="21" spans="12:19" ht="19.95" customHeight="1">
      <c r="L21" s="35"/>
      <c r="M21" s="36" t="s">
        <v>612</v>
      </c>
      <c r="N21" s="35"/>
      <c r="O21" s="37" t="s">
        <v>613</v>
      </c>
      <c r="P21" s="35"/>
      <c r="Q21" s="38" t="s">
        <v>614</v>
      </c>
      <c r="R21" s="35"/>
      <c r="S21" s="35"/>
    </row>
    <row r="22" spans="12:19" ht="19.95" customHeight="1">
      <c r="L22" s="35"/>
      <c r="M22" s="35"/>
      <c r="N22" s="35"/>
      <c r="O22" s="35"/>
      <c r="P22" s="35"/>
      <c r="Q22" s="35"/>
      <c r="R22" s="35"/>
      <c r="S22" s="35"/>
    </row>
    <row r="23" spans="12:19" ht="19.95" customHeight="1"/>
    <row r="24" spans="12:19" ht="19.95" customHeight="1"/>
    <row r="25" spans="12:19" ht="19.95" customHeight="1"/>
    <row r="26" spans="12:19" ht="19.95" customHeight="1"/>
    <row r="27" spans="12:19" ht="19.95" customHeight="1"/>
    <row r="28" spans="12:19" ht="19.95" customHeight="1"/>
    <row r="29" spans="12:19" ht="19.95" customHeight="1"/>
    <row r="30" spans="12:19" ht="19.95" customHeight="1"/>
    <row r="31" spans="12:19" ht="19.95" customHeight="1"/>
    <row r="32" spans="12:1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</sheetData>
  <mergeCells count="20">
    <mergeCell ref="B7:E7"/>
    <mergeCell ref="G7:J7"/>
    <mergeCell ref="D3:E3"/>
    <mergeCell ref="D4:E4"/>
    <mergeCell ref="L3:M3"/>
    <mergeCell ref="L4:M4"/>
    <mergeCell ref="L7:S7"/>
    <mergeCell ref="B1:P1"/>
    <mergeCell ref="B3:C3"/>
    <mergeCell ref="B4:C4"/>
    <mergeCell ref="J3:K3"/>
    <mergeCell ref="J4:K4"/>
    <mergeCell ref="H3:I3"/>
    <mergeCell ref="H4:I4"/>
    <mergeCell ref="P3:Q3"/>
    <mergeCell ref="P4:Q4"/>
    <mergeCell ref="F3:G3"/>
    <mergeCell ref="F4:G4"/>
    <mergeCell ref="N3:O3"/>
    <mergeCell ref="N4:O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283DD0-A323-44C1-B866-67B480B809AC}">
          <x14:formula1>
            <xm:f>Trainer_Master!$B$2:$B$41</xm:f>
          </x14:formula1>
          <xm:sqref>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Trainer_Master</vt:lpstr>
      <vt:lpstr>Organization_Master</vt:lpstr>
      <vt:lpstr>Engagements</vt:lpstr>
      <vt:lpstr>Past_Projects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Mishra</cp:lastModifiedBy>
  <cp:lastPrinted>2026-06-17T06:09:51Z</cp:lastPrinted>
  <dcterms:created xsi:type="dcterms:W3CDTF">2026-06-14T12:19:24Z</dcterms:created>
  <dcterms:modified xsi:type="dcterms:W3CDTF">2026-06-20T21:32:07Z</dcterms:modified>
</cp:coreProperties>
</file>